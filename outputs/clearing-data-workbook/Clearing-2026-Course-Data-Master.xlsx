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6e6714c78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60bad59f98d4891"/>
    <x:sheet xmlns:r="http://schemas.openxmlformats.org/officeDocument/2006/relationships" name="Courses" sheetId="2" r:id="Rf754239ebe164105"/>
    <x:sheet xmlns:r="http://schemas.openxmlformats.org/officeDocument/2006/relationships" name="QA Dashboard" sheetId="3" r:id="Rc830ded3508f4354"/>
    <x:sheet xmlns:r="http://schemas.openxmlformats.org/officeDocument/2006/relationships" name="Change Log" sheetId="4" r:id="R72292ef4de374e0b"/>
    <x:sheet xmlns:r="http://schemas.openxmlformats.org/officeDocument/2006/relationships" name="Lists - Admin" sheetId="5" r:id="R31bc79515425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25D6B"/>
      <x:name val="Carlito"/>
    </x:font>
    <x:font>
      <x:b/>
      <x:sz val="11"/>
      <x:color rgb="FFFFFFFF"/>
      <x:name val="Carlito"/>
    </x:font>
    <x:font>
      <x:b/>
      <x:sz val="11"/>
      <x:color rgb="FF271E3D"/>
      <x:name val="Carlito"/>
    </x:font>
    <x:font>
      <x:i/>
      <x:sz val="11"/>
      <x:color rgb="FF00696C"/>
      <x:name val="Carlito"/>
    </x:font>
    <x:font>
      <x:sz val="11"/>
      <x:color rgb="FF625D6B"/>
      <x:name val="Carlito"/>
    </x:font>
    <x:font>
      <x:b/>
      <x:sz val="11"/>
      <x:name val="Carlito"/>
    </x:font>
    <x:font>
      <x:b/>
      <x:sz val="11"/>
      <x:color rgb="FF00696C"/>
      <x:name val="Carlito"/>
    </x:font>
    <x:font>
      <x:b/>
      <x:sz val="11"/>
      <x:color rgb="FF6C4A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71E3D"/>
      </x:patternFill>
    </x:fill>
    <x:fill>
      <x:patternFill patternType="solid">
        <x:fgColor rgb="FFF5F3EE"/>
      </x:patternFill>
    </x:fill>
    <x:fill>
      <x:patternFill patternType="solid">
        <x:fgColor rgb="FF007D80"/>
      </x:patternFill>
    </x:fill>
    <x:fill>
      <x:patternFill patternType="solid">
        <x:fgColor rgb="FFEAF5F7"/>
      </x:patternFill>
    </x:fill>
    <x:fill>
      <x:patternFill patternType="solid">
        <x:fgColor rgb="FFECEAEF"/>
      </x:patternFill>
    </x:fill>
    <x:fill>
      <x:patternFill patternType="solid">
        <x:fgColor rgb="FFFFF3D4"/>
      </x:patternFill>
    </x:fill>
  </x:fills>
  <x:borders count="1">
    <x:border/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/>
    </x:xf>
    <x:xf numFmtId="201" fontId="0" fillId="5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9d3307f1c454d" /><Relationship Type="http://schemas.openxmlformats.org/officeDocument/2006/relationships/theme" Target="/xl/theme/theme1.xml" Id="Receadf5be03a4d35" /><Relationship Type="http://schemas.openxmlformats.org/officeDocument/2006/relationships/sharedStrings" Target="/xl/sharedStrings.xml" Id="R17f559e751dc4583" /><Relationship Type="http://schemas.openxmlformats.org/officeDocument/2006/relationships/worksheet" Target="/xl/worksheets/sheet1.xml" Id="Rc60bad59f98d4891" /><Relationship Type="http://schemas.openxmlformats.org/officeDocument/2006/relationships/worksheet" Target="/xl/worksheets/sheet2.xml" Id="Rf754239ebe164105" /><Relationship Type="http://schemas.openxmlformats.org/officeDocument/2006/relationships/worksheet" Target="/xl/worksheets/sheet3.xml" Id="Rc830ded3508f4354" /><Relationship Type="http://schemas.openxmlformats.org/officeDocument/2006/relationships/worksheet" Target="/xl/worksheets/sheet4.xml" Id="R72292ef4de374e0b" /><Relationship Type="http://schemas.openxmlformats.org/officeDocument/2006/relationships/worksheet" Target="/xl/worksheets/sheet5.xml" Id="R31bc7951542544ad" /></Relationships>
</file>

<file path=xl/tables/table1.xml><?xml version="1.0" encoding="utf-8"?>
<x:table xmlns:x="http://schemas.openxmlformats.org/spreadsheetml/2006/main" id="1" name="ClearingCourses" displayName="ClearingCourses" ref="A4:Q376" headerRowCount="1">
  <x:autoFilter ref="A4:Q376"/>
  <x:tableColumns count="17">
    <x:tableColumn id="1" name="Record ID"/>
    <x:tableColumn id="2" name="Academic Year"/>
    <x:tableColumn id="3" name="Course Title"/>
    <x:tableColumn id="4" name="Course Type"/>
    <x:tableColumn id="5" name="Availability"/>
    <x:tableColumn id="6" name="UCAS Code"/>
    <x:tableColumn id="7" name="Award"/>
    <x:tableColumn id="8" name="Typical Offer"/>
    <x:tableColumn id="9" name="Subject-specific Requirements"/>
    <x:tableColumn id="10" name="Entry Requirement Summary"/>
    <x:tableColumn id="11" name="Entry Requirements URL"/>
    <x:tableColumn id="12" name="Course URL"/>
    <x:tableColumn id="13" name="Display"/>
    <x:tableColumn id="14" name="Last Reviewed"/>
    <x:tableColumn id="15" name="Content Owner"/>
    <x:tableColumn id="16" name="Change Note"/>
    <x:tableColumn id="17" name="Row Check"/>
  </x:tableColumns>
  <x:tableStyleInfo name="TableStyleMedium2" showRowStripes="1"/>
</x:table>
</file>

<file path=xl/tables/table2.xml><?xml version="1.0" encoding="utf-8"?>
<x:table xmlns:x="http://schemas.openxmlformats.org/spreadsheetml/2006/main" id="2" name="ClearingChangeLog" displayName="ClearingChangeLog" ref="A4:J5" headerRowCount="1">
  <x:tableColumns count="10">
    <x:tableColumn id="1" name="Date"/>
    <x:tableColumn id="2" name="Officer"/>
    <x:tableColumn id="3" name="Action"/>
    <x:tableColumn id="4" name="Dataset Version"/>
    <x:tableColumn id="5" name="Records"/>
    <x:tableColumn id="6" name="Validation Result"/>
    <x:tableColumn id="7" name="Approver"/>
    <x:tableColumn id="8" name="Published At"/>
    <x:tableColumn id="9" name="Server Archive Filenam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04759d362746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ae54d0377840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6" t="str">
        <x:v>Clearing 2026 Course Data Master</x:v>
      </x:c>
      <x:c r="B1" s="16" t="str">
        <x:v>Clearing 2026 Course Data Master</x:v>
      </x:c>
      <x:c r="C1" s="16" t="str">
        <x:v>Clearing 2026 Course Data Master</x:v>
      </x:c>
      <x:c r="D1" s="16" t="str">
        <x:v>Clearing 2026 Course Data Master</x:v>
      </x:c>
      <x:c r="E1" s="16" t="str">
        <x:v>Clearing 2026 Course Data Master</x:v>
      </x:c>
      <x:c r="F1" s="16" t="str">
        <x:v>Clearing 2026 Course Data Master</x:v>
      </x:c>
      <x:c r="G1" s="16" t="str">
        <x:v>Clearing 2026 Course Data Master</x:v>
      </x:c>
      <x:c r="H1" s="16" t="str">
        <x:v>Clearing 2026 Course Data Master</x:v>
      </x:c>
    </x:row>
    <x:row r="2" ht="34" customHeight="1">
      <x:c r="A2" s="16" t="str">
        <x:v>Clearing 2026 Course Data Master</x:v>
      </x:c>
      <x:c r="B2" s="16" t="str">
        <x:v>Clearing 2026 Course Data Master</x:v>
      </x:c>
      <x:c r="C2" s="16" t="str">
        <x:v>Clearing 2026 Course Data Master</x:v>
      </x:c>
      <x:c r="D2" s="16" t="str">
        <x:v>Clearing 2026 Course Data Master</x:v>
      </x:c>
      <x:c r="E2" s="16" t="str">
        <x:v>Clearing 2026 Course Data Master</x:v>
      </x:c>
      <x:c r="F2" s="16" t="str">
        <x:v>Clearing 2026 Course Data Master</x:v>
      </x:c>
      <x:c r="G2" s="16" t="str">
        <x:v>Clearing 2026 Course Data Master</x:v>
      </x:c>
      <x:c r="H2" s="16" t="str">
        <x:v>Clearing 2026 Course Data Master</x:v>
      </x:c>
    </x:row>
    <x:row r="3">
      <x:c r="A3" s="17" t="str">
        <x:v>Controlled workbook for maintaining Clearing course availability and entry information</x:v>
      </x:c>
      <x:c r="B3" s="17"/>
      <x:c r="C3" s="17"/>
      <x:c r="D3" s="17"/>
      <x:c r="E3" s="17"/>
      <x:c r="F3" s="17"/>
      <x:c r="G3" s="17"/>
      <x:c r="H3" s="17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19" t="str">
        <x:v>Purpose and ownership</x:v>
      </x:c>
      <x:c r="B5" s="19"/>
      <x:c r="C5" s="18"/>
      <x:c r="D5" s="19" t="str">
        <x:v>Non-negotiable safeguards</x:v>
      </x:c>
      <x:c r="E5" s="19"/>
      <x:c r="F5" s="19"/>
      <x:c r="G5" s="19"/>
      <x:c r="H5" s="19"/>
    </x:row>
    <x:row r="6">
      <x:c r="A6" s="20" t="str">
        <x:v>Source of truth</x:v>
      </x:c>
      <x:c r="B6" s="21" t="str">
        <x:v>This workbook is the controlled editorial source for the Clearing course finder.</x:v>
      </x:c>
      <x:c r="C6" s="21"/>
      <x:c r="D6" s="21" t="str">
        <x:v>• Never publish directly from this workbook; publish only validator-generated files</x:v>
      </x:c>
      <x:c r="E6" s="21"/>
      <x:c r="F6" s="21"/>
      <x:c r="G6" s="21"/>
      <x:c r="H6" s="21"/>
    </x:row>
    <x:row r="7">
      <x:c r="A7" s="20" t="str">
        <x:v>Editor</x:v>
      </x:c>
      <x:c r="B7" s="21" t="str">
        <x:v>One of the named web officers updates course rows and records every material change.</x:v>
      </x:c>
      <x:c r="C7" s="21"/>
      <x:c r="D7" s="21" t="str">
        <x:v>• Never use formulas, HTML, scripts or merged cells inside the Courses table</x:v>
      </x:c>
      <x:c r="E7" s="21"/>
      <x:c r="F7" s="21"/>
      <x:c r="G7" s="21"/>
      <x:c r="H7" s="21"/>
    </x:row>
    <x:row r="8">
      <x:c r="A8" s="20" t="str">
        <x:v>Approver</x:v>
      </x:c>
      <x:c r="B8" s="21" t="str">
        <x:v>A second named officer reviews the QA Dashboard and preview before publication.</x:v>
      </x:c>
      <x:c r="C8" s="21"/>
      <x:c r="D8" s="21" t="str">
        <x:v>• Course and entry URLs must use https://www.keele.ac.uk/</x:v>
      </x:c>
      <x:c r="E8" s="21"/>
      <x:c r="F8" s="21"/>
      <x:c r="G8" s="21"/>
      <x:c r="H8" s="21"/>
    </x:row>
    <x:row r="9">
      <x:c r="A9" s="20" t="str">
        <x:v>Storage</x:v>
      </x:c>
      <x:c r="B9" s="21" t="str">
        <x:v>Keep the master in a restricted Teams/SharePoint folder with version history enabled.</x:v>
      </x:c>
      <x:c r="C9" s="21"/>
      <x:c r="D9" s="21" t="str">
        <x:v>• Foundation Year course URLs must include #foundationyear</x:v>
      </x:c>
      <x:c r="E9" s="21"/>
      <x:c r="F9" s="21"/>
      <x:c r="G9" s="21"/>
      <x:c r="H9" s="21"/>
    </x:row>
    <x:row r="10">
      <x:c r="A10" s="20"/>
      <x:c r="B10" s="21"/>
      <x:c r="C10" s="21"/>
      <x:c r="D10" s="21" t="str">
        <x:v>• Use Display = No instead of deleting a temporarily suppressed record</x:v>
      </x:c>
      <x:c r="E10" s="21"/>
      <x:c r="F10" s="21"/>
      <x:c r="G10" s="21"/>
      <x:c r="H10" s="21"/>
    </x:row>
    <x:row r="11">
      <x:c r="A11" s="22" t="str">
        <x:v>Editing workflow</x:v>
      </x:c>
      <x:c r="B11" s="23"/>
      <x:c r="C11" s="23"/>
      <x:c r="D11" s="23"/>
      <x:c r="E11" s="23"/>
      <x:c r="F11" s="23"/>
      <x:c r="G11" s="23"/>
      <x:c r="H11" s="23"/>
    </x:row>
    <x:row r="12">
      <x:c r="A12" s="20" t="str">
        <x:v>1</x:v>
      </x:c>
      <x:c r="B12" s="21" t="str">
        <x:v>Open the Teams master and confirm nobody else is making structural changes.</x:v>
      </x:c>
      <x:c r="C12" s="21"/>
      <x:c r="D12" s="23" t="str">
        <x:v>Publishing and rollback</x:v>
      </x:c>
      <x:c r="E12" s="23"/>
      <x:c r="F12" s="23"/>
      <x:c r="G12" s="23"/>
      <x:c r="H12" s="23"/>
    </x:row>
    <x:row r="13">
      <x:c r="A13" s="20" t="str">
        <x:v>2</x:v>
      </x:c>
      <x:c r="B13" s="21" t="str">
        <x:v>Duplicate the workbook before a new Clearing cycle or major bulk revision.</x:v>
      </x:c>
      <x:c r="C13" s="21"/>
      <x:c r="D13" s="21" t="str">
        <x:v>1. Validator creates JSON, static HTML backup, manifest, checksums and validation report</x:v>
      </x:c>
      <x:c r="E13" s="21"/>
      <x:c r="F13" s="21"/>
      <x:c r="G13" s="21"/>
      <x:c r="H13" s="21"/>
    </x:row>
    <x:row r="14">
      <x:c r="A14" s="20" t="str">
        <x:v>3</x:v>
      </x:c>
      <x:c r="B14" s="21" t="str">
        <x:v>Edit only the Courses table. Use the supplied dropdowns; do not rename, move or delete columns.</x:v>
      </x:c>
      <x:c r="C14" s="21"/>
      <x:c r="D14" s="21" t="str">
        <x:v>2. Rename the current server JSON/HTML into the dated archive folder</x:v>
      </x:c>
      <x:c r="E14" s="21"/>
      <x:c r="F14" s="21"/>
      <x:c r="G14" s="21"/>
      <x:c r="H14" s="21"/>
    </x:row>
    <x:row r="15">
      <x:c r="A15" s="20" t="str">
        <x:v>4</x:v>
      </x:c>
      <x:c r="B15" s="21" t="str">
        <x:v>Keep existing Record IDs unchanged. Assign a new unique ID only for genuinely new routes.</x:v>
      </x:c>
      <x:c r="C15" s="21"/>
      <x:c r="D15" s="21" t="str">
        <x:v>3. Upload new files with .next filenames using SFTP</x:v>
      </x:c>
      <x:c r="E15" s="21"/>
      <x:c r="F15" s="21"/>
      <x:c r="G15" s="21"/>
      <x:c r="H15" s="21"/>
    </x:row>
    <x:row r="16">
      <x:c r="A16" s="20" t="str">
        <x:v>5</x:v>
      </x:c>
      <x:c r="B16" s="21" t="str">
        <x:v>Record a concise Change Note and update Last Reviewed for every changed row.</x:v>
      </x:c>
      <x:c r="C16" s="21"/>
      <x:c r="D16" s="21" t="str">
        <x:v>4. Confirm file sizes, permissions, checksum and preview totals</x:v>
      </x:c>
      <x:c r="E16" s="21"/>
      <x:c r="F16" s="21"/>
      <x:c r="G16" s="21"/>
      <x:c r="H16" s="21"/>
    </x:row>
    <x:row r="17">
      <x:c r="A17" s="20" t="str">
        <x:v>6</x:v>
      </x:c>
      <x:c r="B17" s="21" t="str">
        <x:v>Check Row Check and the QA Dashboard. Any issue means the dataset must not be published.</x:v>
      </x:c>
      <x:c r="C17" s="21"/>
      <x:c r="D17" s="21" t="str">
        <x:v>5. Rename .next files to their live names</x:v>
      </x:c>
      <x:c r="E17" s="21"/>
      <x:c r="F17" s="21"/>
      <x:c r="G17" s="21"/>
      <x:c r="H17" s="21"/>
    </x:row>
    <x:row r="18">
      <x:c r="A18" s="20" t="str">
        <x:v>7</x:v>
      </x:c>
      <x:c r="B18" s="21" t="str">
        <x:v>Export a copy and run the local validator/build script. Review its HTML report and backup website.</x:v>
      </x:c>
      <x:c r="C18" s="21"/>
      <x:c r="D18" s="21" t="str">
        <x:v>6. Verify the finder, static backup, timestamp and counts</x:v>
      </x:c>
      <x:c r="E18" s="21"/>
      <x:c r="F18" s="21"/>
      <x:c r="G18" s="21"/>
      <x:c r="H18" s="21"/>
    </x:row>
    <x:row r="19">
      <x:c r="A19" s="20" t="str">
        <x:v>8</x:v>
      </x:c>
      <x:c r="B19" s="21" t="str">
        <x:v>A second officer approves the preview, records the release in Change Log, then deploys via SFTP.</x:v>
      </x:c>
      <x:c r="C19" s="21"/>
      <x:c r="D19" s="21" t="str">
        <x:v>Rollback: restore the previous archived JSON and HTML, then verify again</x:v>
      </x:c>
      <x:c r="E19" s="21"/>
      <x:c r="F19" s="21"/>
      <x:c r="G19" s="21"/>
      <x:c r="H19" s="21"/>
    </x:row>
    <x:row r="20">
      <x:c r="A20" s="20"/>
      <x:c r="B20" s="21"/>
      <x:c r="C20" s="21"/>
      <x:c r="D20" s="21"/>
      <x:c r="E20" s="21"/>
      <x:c r="F20" s="21"/>
      <x:c r="G20" s="21"/>
      <x:c r="H20" s="21"/>
    </x:row>
    <x:row r="21">
      <x:c r="A21" s="22" t="str">
        <x:v>Status definitions</x:v>
      </x:c>
      <x:c r="B21" s="23"/>
      <x:c r="C21" s="23"/>
      <x:c r="D21" s="23"/>
      <x:c r="E21" s="23"/>
      <x:c r="F21" s="23"/>
      <x:c r="G21" s="23"/>
      <x:c r="H21" s="23"/>
    </x:row>
    <x:row r="22">
      <x:c r="A22" s="20" t="str">
        <x:v>Vacancies</x:v>
      </x:c>
      <x:c r="B22" s="21" t="str">
        <x:v>Open for applications.</x:v>
      </x:c>
      <x:c r="C22" s="21"/>
      <x:c r="D22" s="21"/>
      <x:c r="E22" s="21"/>
      <x:c r="F22" s="21"/>
      <x:c r="G22" s="21"/>
      <x:c r="H22" s="21"/>
    </x:row>
    <x:row r="23">
      <x:c r="A23" s="20" t="str">
        <x:v>Limited vacancies</x:v>
      </x:c>
      <x:c r="B23" s="21" t="str">
        <x:v>Open, but places are constrained and may close quickly.</x:v>
      </x:c>
      <x:c r="C23" s="21"/>
      <x:c r="D23" s="21"/>
      <x:c r="E23" s="21"/>
      <x:c r="F23" s="21"/>
      <x:c r="G23" s="21"/>
      <x:c r="H23" s="21"/>
    </x:row>
    <x:row r="24">
      <x:c r="A24" s="20" t="str">
        <x:v>Waiting list</x:v>
      </x:c>
      <x:c r="B24" s="21" t="str">
        <x:v>Not currently open for ordinary offers; enquiries may join a waiting list.</x:v>
      </x:c>
      <x:c r="C24" s="21"/>
      <x:c r="D24" s="21"/>
      <x:c r="E24" s="21"/>
      <x:c r="F24" s="21"/>
      <x:c r="G24" s="21"/>
      <x:c r="H24" s="21"/>
    </x:row>
    <x:row r="25">
      <x:c r="A25" s="20" t="str">
        <x:v>Full</x:v>
      </x:c>
      <x:c r="B25" s="21" t="str">
        <x:v>No vacancies. Retained for clear public status and possible rollback/reopening.</x:v>
      </x:c>
      <x:c r="C25" s="21"/>
      <x:c r="D25" s="21"/>
      <x:c r="E25" s="21"/>
      <x:c r="F25" s="21"/>
      <x:c r="G25" s="21"/>
      <x:c r="H25" s="21"/>
    </x:row>
  </x:sheetData>
  <x:mergeCells>
    <x:mergeCell ref="A1:H2"/>
    <x:mergeCell ref="A3:H3"/>
    <x:mergeCell ref="A5:B5"/>
    <x:mergeCell ref="A11:H11"/>
    <x:mergeCell ref="D5:H5"/>
    <x:mergeCell ref="D12:H12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42" hidden="0" customWidth="1"/>
    <x:col min="4" max="4" width="18" hidden="0" customWidth="1"/>
    <x:col min="5" max="5" width="18" hidden="0" customWidth="1"/>
    <x:col min="6" max="6" width="12" hidden="0" customWidth="1"/>
    <x:col min="7" max="7" width="15" hidden="0" customWidth="1"/>
    <x:col min="8" max="8" width="24" hidden="0" customWidth="1"/>
    <x:col min="9" max="9" width="22" hidden="0" customWidth="1"/>
    <x:col min="10" max="10" width="50" hidden="0" customWidth="1"/>
    <x:col min="11" max="11" width="48" hidden="0" customWidth="1"/>
    <x:col min="12" max="12" width="48" hidden="0" customWidth="1"/>
    <x:col min="13" max="13" width="10" hidden="0" customWidth="1"/>
    <x:col min="14" max="14" width="14" hidden="0" customWidth="1"/>
    <x:col min="15" max="15" width="23" hidden="0" customWidth="1"/>
    <x:col min="16" max="16" width="38" hidden="0" customWidth="1"/>
    <x:col min="17" max="17" width="30" hidden="0" customWidth="1"/>
  </x:cols>
  <x:sheetData>
    <x:row r="1" ht="34" customHeight="1">
      <x:c r="A1" s="3" t="str">
        <x:v>Clearing Course Records</x:v>
      </x:c>
      <x:c r="B1" s="3" t="str">
        <x:v>Clearing Course Records</x:v>
      </x:c>
      <x:c r="C1" s="3" t="str">
        <x:v>Clearing Course Records</x:v>
      </x:c>
      <x:c r="D1" s="3" t="str">
        <x:v>Clearing Course Records</x:v>
      </x:c>
      <x:c r="E1" s="3" t="str">
        <x:v>Clearing Course Records</x:v>
      </x:c>
      <x:c r="F1" s="3" t="str">
        <x:v>Clearing Course Records</x:v>
      </x:c>
      <x:c r="G1" s="3" t="str">
        <x:v>Clearing Course Records</x:v>
      </x:c>
      <x:c r="H1" s="3" t="str">
        <x:v>Clearing Course Records</x:v>
      </x:c>
      <x:c r="I1" s="3" t="str">
        <x:v>Clearing Course Records</x:v>
      </x:c>
      <x:c r="J1" s="3" t="str">
        <x:v>Clearing Course Records</x:v>
      </x:c>
      <x:c r="K1" s="3" t="str">
        <x:v>Clearing Course Records</x:v>
      </x:c>
      <x:c r="L1" s="3" t="str">
        <x:v>Clearing Course Records</x:v>
      </x:c>
      <x:c r="M1" s="3" t="str">
        <x:v>Clearing Course Records</x:v>
      </x:c>
      <x:c r="N1" s="3" t="str">
        <x:v>Clearing Course Records</x:v>
      </x:c>
      <x:c r="O1" s="3" t="str">
        <x:v>Clearing Course Records</x:v>
      </x:c>
      <x:c r="P1" s="3" t="str">
        <x:v>Clearing Course Records</x:v>
      </x:c>
      <x:c r="Q1" s="3" t="str">
        <x:v>Clearing Course Records</x:v>
      </x:c>
    </x:row>
    <x:row r="2">
      <x:c r="A2" s="26" t="str">
        <x:v>Blue cells are editor-maintained. Grey Row Check cells are formula-driven. Filter Row Check to anything other than OK before review.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8" t="str">
        <x:v>Required fields: Record ID, Academic Year, Course Title, Course Type, Availability, Typical Offer, Course URL, Display, Last Reviewed, Content Owner and Change Note.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 ht="34" customHeight="1">
      <x:c r="A4" s="31" t="str">
        <x:v>Record ID</x:v>
      </x:c>
      <x:c r="B4" s="31" t="str">
        <x:v>Academic Year</x:v>
      </x:c>
      <x:c r="C4" s="31" t="str">
        <x:v>Course Title</x:v>
      </x:c>
      <x:c r="D4" s="31" t="str">
        <x:v>Course Type</x:v>
      </x:c>
      <x:c r="E4" s="31" t="str">
        <x:v>Availability</x:v>
      </x:c>
      <x:c r="F4" s="31" t="str">
        <x:v>UCAS Code</x:v>
      </x:c>
      <x:c r="G4" s="31" t="str">
        <x:v>Award</x:v>
      </x:c>
      <x:c r="H4" s="31" t="str">
        <x:v>Typical Offer</x:v>
      </x:c>
      <x:c r="I4" s="31" t="str">
        <x:v>Subject-specific Requirements</x:v>
      </x:c>
      <x:c r="J4" s="31" t="str">
        <x:v>Entry Requirement Summary</x:v>
      </x:c>
      <x:c r="K4" s="31" t="str">
        <x:v>Entry Requirements URL</x:v>
      </x:c>
      <x:c r="L4" s="31" t="str">
        <x:v>Course URL</x:v>
      </x:c>
      <x:c r="M4" s="31" t="str">
        <x:v>Display</x:v>
      </x:c>
      <x:c r="N4" s="31" t="str">
        <x:v>Last Reviewed</x:v>
      </x:c>
      <x:c r="O4" s="31" t="str">
        <x:v>Content Owner</x:v>
      </x:c>
      <x:c r="P4" s="31" t="str">
        <x:v>Change Note</x:v>
      </x:c>
      <x:c r="Q4" s="31" t="str">
        <x:v>Row Check</x:v>
      </x:c>
    </x:row>
    <x:row r="5">
      <x:c r="A5" s="33" t="str">
        <x:v>2026-NN34-UG</x:v>
      </x:c>
      <x:c r="B5" s="37" t="n">
        <x:v>2026</x:v>
      </x:c>
      <x:c r="C5" s="35" t="str">
        <x:v>Accounting and Finance</x:v>
      </x:c>
      <x:c r="D5" s="33" t="str">
        <x:v>Undergraduate</x:v>
      </x:c>
      <x:c r="E5" s="33" t="str">
        <x:v>Vacancies</x:v>
      </x:c>
      <x:c r="F5" s="33" t="str">
        <x:v>NN34</x:v>
      </x:c>
      <x:c r="G5" s="33" t="str">
        <x:v>BSc (Hons)</x:v>
      </x:c>
      <x:c r="H5" s="35" t="str">
        <x:v>64 UCAS tariff points</x:v>
      </x:c>
      <x:c r="I5" s="35" t="str">
        <x:v>No</x:v>
      </x:c>
      <x:c r="J5" s="35" t="str">
        <x:v>Most undergraduate courses require GCSE English Language at grade 4/C or equivalent. Some courses also require GCSE Mathematics at grade 4/C or equivalent.</x:v>
      </x:c>
      <x:c r="K5" s="35" t="str">
        <x:v>https://www.keele.ac.uk/clearing/entry-requirements/</x:v>
      </x:c>
      <x:c r="L5" s="35" t="str">
        <x:v>https://www.keele.ac.uk/study/undergraduate-2026/undergraduatecourses/accountingandfinance/</x:v>
      </x:c>
      <x:c r="M5" s="33" t="str">
        <x:v>Yes</x:v>
      </x:c>
      <x:c r="N5" s="38" t="n">
        <x:v>46195</x:v>
      </x:c>
      <x:c r="O5" s="35" t="str">
        <x:v>Clearing content team</x:v>
      </x:c>
      <x:c r="P5" s="35" t="str">
        <x:v>Initial import from Clearing vacancies and ER page for 2026.docx</x:v>
      </x:c>
      <x:c r="Q5" s="36" t="str">
        <x:f>IF(A5="","Missing ID",IF(COUNTIF($A$5:$A$1000,A5)&gt;1,"Duplicate ID",IF(C5="","Missing title",IF(D5="","Missing type",IF(E5="","Missing availability",IF(H5="","Missing offer",IF(L5="","Missing course URL",IF(ISERROR(SEARCH("https://www.keele.ac.uk/",L5)),"Non-Keele URL",IF(AND(D5="Foundation year",ISERROR(SEARCH("#foundationyear",L5))),"FY URL missing #foundationyear",IF(M5="","Missing display status",IF(N5="","Missing review date",IF(O5="","Missing owner",IF(P5="","Missing change note","OK")))))))))))))</x:f>
        <x:v>OK</x:v>
      </x:c>
    </x:row>
    <x:row r="6">
      <x:c r="A6" s="33" t="str">
        <x:v>2026-accountingandfinance-FY</x:v>
      </x:c>
      <x:c r="B6" s="37" t="n">
        <x:v>2026</x:v>
      </x:c>
      <x:c r="C6" s="35" t="str">
        <x:v>Accounting and Finance with Foundation Year</x:v>
      </x:c>
      <x:c r="D6" s="33" t="str">
        <x:v>Foundation year</x:v>
      </x:c>
      <x:c r="E6" s="33" t="str">
        <x:v>Vacancies</x:v>
      </x:c>
      <x:c r="F6" s="33" t="str"/>
      <x:c r="G6" s="33" t="str"/>
      <x:c r="H6" s="35" t="str">
        <x:v>Course-specific</x:v>
      </x:c>
      <x:c r="I6" s="35" t="str">
        <x:v>No</x:v>
      </x:c>
      <x:c r="J6" s="35" t="str">
        <x:v>Foundation Year requirements vary by course. View the full course details or call 01782 491120 to discuss your qualifications.</x:v>
      </x:c>
      <x:c r="K6" s="35" t="str">
        <x:v>https://www.keele.ac.uk/clearing/entry-requirements/</x:v>
      </x:c>
      <x:c r="L6" s="35" t="str">
        <x:v>https://www.keele.ac.uk/study/undergraduate-2026/undergraduatecourses/accountingandfinance/#foundationyear</x:v>
      </x:c>
      <x:c r="M6" s="33" t="str">
        <x:v>Yes</x:v>
      </x:c>
      <x:c r="N6" s="38" t="n">
        <x:v>46195</x:v>
      </x:c>
      <x:c r="O6" s="35" t="str">
        <x:v>Clearing content team</x:v>
      </x:c>
      <x:c r="P6" s="35" t="str">
        <x:v>Initial import from Clearing vacancies and ER page for 2026.docx</x:v>
      </x:c>
      <x:c r="Q6" s="36" t="str">
        <x:f>IF(A6="","Missing ID",IF(COUNTIF($A$5:$A$1000,A6)&gt;1,"Duplicate ID",IF(C6="","Missing title",IF(D6="","Missing type",IF(E6="","Missing availability",IF(H6="","Missing offer",IF(L6="","Missing course URL",IF(ISERROR(SEARCH("https://www.keele.ac.uk/",L6)),"Non-Keele URL",IF(AND(D6="Foundation year",ISERROR(SEARCH("#foundationyear",L6))),"FY URL missing #foundationyear",IF(M6="","Missing display status",IF(N6="","Missing review date",IF(O6="","Missing owner",IF(P6="","Missing change note","OK")))))))))))))</x:f>
        <x:v>OK</x:v>
      </x:c>
    </x:row>
    <x:row r="7">
      <x:c r="A7" s="33" t="str">
        <x:v>2026-N4G3-UG</x:v>
      </x:c>
      <x:c r="B7" s="37" t="n">
        <x:v>2026</x:v>
      </x:c>
      <x:c r="C7" s="35" t="str">
        <x:v>Accounting with Business Analytics</x:v>
      </x:c>
      <x:c r="D7" s="33" t="str">
        <x:v>Undergraduate</x:v>
      </x:c>
      <x:c r="E7" s="33" t="str">
        <x:v>Vacancies</x:v>
      </x:c>
      <x:c r="F7" s="33" t="str">
        <x:v>N4G3</x:v>
      </x:c>
      <x:c r="G7" s="33" t="str">
        <x:v>BSc (Hons)</x:v>
      </x:c>
      <x:c r="H7" s="35" t="str">
        <x:v>64 UCAS tariff points</x:v>
      </x:c>
      <x:c r="I7" s="35" t="str">
        <x:v>No</x:v>
      </x:c>
      <x:c r="J7" s="35" t="str">
        <x:v>Most undergraduate courses require GCSE English Language at grade 4/C or equivalent. Some courses also require GCSE Mathematics at grade 4/C or equivalent.</x:v>
      </x:c>
      <x:c r="K7" s="35" t="str">
        <x:v>https://www.keele.ac.uk/clearing/entry-requirements/</x:v>
      </x:c>
      <x:c r="L7" s="35" t="str">
        <x:v>https://www.keele.ac.uk/study/undergraduate-2026/undergraduatecourses/accountingwithbusinessanalytics/</x:v>
      </x:c>
      <x:c r="M7" s="33" t="str">
        <x:v>Yes</x:v>
      </x:c>
      <x:c r="N7" s="38" t="n">
        <x:v>46195</x:v>
      </x:c>
      <x:c r="O7" s="35" t="str">
        <x:v>Clearing content team</x:v>
      </x:c>
      <x:c r="P7" s="35" t="str">
        <x:v>Initial import from Clearing vacancies and ER page for 2026.docx</x:v>
      </x:c>
      <x:c r="Q7" s="36" t="str">
        <x:f>IF(A7="","Missing ID",IF(COUNTIF($A$5:$A$1000,A7)&gt;1,"Duplicate ID",IF(C7="","Missing title",IF(D7="","Missing type",IF(E7="","Missing availability",IF(H7="","Missing offer",IF(L7="","Missing course URL",IF(ISERROR(SEARCH("https://www.keele.ac.uk/",L7)),"Non-Keele URL",IF(AND(D7="Foundation year",ISERROR(SEARCH("#foundationyear",L7))),"FY URL missing #foundationyear",IF(M7="","Missing display status",IF(N7="","Missing review date",IF(O7="","Missing owner",IF(P7="","Missing change note","OK")))))))))))))</x:f>
        <x:v>OK</x:v>
      </x:c>
    </x:row>
    <x:row r="8">
      <x:c r="A8" s="33" t="str">
        <x:v>2026-accountingwithbusinessanalytics-FY</x:v>
      </x:c>
      <x:c r="B8" s="37" t="n">
        <x:v>2026</x:v>
      </x:c>
      <x:c r="C8" s="35" t="str">
        <x:v>Accounting with Business Analytics with Foundation Year</x:v>
      </x:c>
      <x:c r="D8" s="33" t="str">
        <x:v>Foundation year</x:v>
      </x:c>
      <x:c r="E8" s="33" t="str">
        <x:v>Vacancies</x:v>
      </x:c>
      <x:c r="F8" s="33" t="str"/>
      <x:c r="G8" s="33" t="str"/>
      <x:c r="H8" s="35" t="str">
        <x:v>Course-specific</x:v>
      </x:c>
      <x:c r="I8" s="35" t="str">
        <x:v>No</x:v>
      </x:c>
      <x:c r="J8" s="35" t="str">
        <x:v>Foundation Year requirements vary by course. View the full course details or call 01782 491120 to discuss your qualifications.</x:v>
      </x:c>
      <x:c r="K8" s="35" t="str">
        <x:v>https://www.keele.ac.uk/clearing/entry-requirements/</x:v>
      </x:c>
      <x:c r="L8" s="35" t="str">
        <x:v>https://www.keele.ac.uk/study/undergraduate-2026/undergraduatecourses/accountingwithbusinessanalytics/#foundationyear</x:v>
      </x:c>
      <x:c r="M8" s="33" t="str">
        <x:v>Yes</x:v>
      </x:c>
      <x:c r="N8" s="38" t="n">
        <x:v>46195</x:v>
      </x:c>
      <x:c r="O8" s="35" t="str">
        <x:v>Clearing content team</x:v>
      </x:c>
      <x:c r="P8" s="35" t="str">
        <x:v>Initial import from Clearing vacancies and ER page for 2026.docx</x:v>
      </x:c>
      <x:c r="Q8" s="36" t="str">
        <x:f>IF(A8="","Missing ID",IF(COUNTIF($A$5:$A$1000,A8)&gt;1,"Duplicate ID",IF(C8="","Missing title",IF(D8="","Missing type",IF(E8="","Missing availability",IF(H8="","Missing offer",IF(L8="","Missing course URL",IF(ISERROR(SEARCH("https://www.keele.ac.uk/",L8)),"Non-Keele URL",IF(AND(D8="Foundation year",ISERROR(SEARCH("#foundationyear",L8))),"FY URL missing #foundationyear",IF(M8="","Missing display status",IF(N8="","Missing review date",IF(O8="","Missing owner",IF(P8="","Missing change note","OK")))))))))))))</x:f>
        <x:v>OK</x:v>
      </x:c>
    </x:row>
    <x:row r="9">
      <x:c r="A9" s="33" t="str">
        <x:v>2026-F512-UG</x:v>
      </x:c>
      <x:c r="B9" s="37" t="n">
        <x:v>2026</x:v>
      </x:c>
      <x:c r="C9" s="35" t="str">
        <x:v>Astrophysics with Integrated Master's</x:v>
      </x:c>
      <x:c r="D9" s="33" t="str">
        <x:v>Undergraduate</x:v>
      </x:c>
      <x:c r="E9" s="33" t="str">
        <x:v>Vacancies</x:v>
      </x:c>
      <x:c r="F9" s="33" t="str">
        <x:v>F512</x:v>
      </x:c>
      <x:c r="G9" s="33" t="str">
        <x:v>MSci</x:v>
      </x:c>
      <x:c r="H9" s="35" t="str">
        <x:v>64 UCAS tariff points</x:v>
      </x:c>
      <x:c r="I9" s="35" t="str">
        <x:v>Yes</x:v>
      </x:c>
      <x:c r="J9" s="35" t="str">
        <x:v>This course has additional subject-specific requirements. View the full course details or contact Admissions before applying.</x:v>
      </x:c>
      <x:c r="K9" s="35" t="str">
        <x:v>https://www.keele.ac.uk/clearing/entry-requirements/</x:v>
      </x:c>
      <x:c r="L9" s="35" t="str">
        <x:v>https://www.keele.ac.uk/study/undergraduate-2026/undergraduatecourses/astrophysicswithintegratedmasters/</x:v>
      </x:c>
      <x:c r="M9" s="33" t="str">
        <x:v>Yes</x:v>
      </x:c>
      <x:c r="N9" s="38" t="n">
        <x:v>46195</x:v>
      </x:c>
      <x:c r="O9" s="35" t="str">
        <x:v>Clearing content team</x:v>
      </x:c>
      <x:c r="P9" s="35" t="str">
        <x:v>Initial import from Clearing vacancies and ER page for 2026.docx</x:v>
      </x:c>
      <x:c r="Q9" s="36" t="str">
        <x:f>IF(A9="","Missing ID",IF(COUNTIF($A$5:$A$1000,A9)&gt;1,"Duplicate ID",IF(C9="","Missing title",IF(D9="","Missing type",IF(E9="","Missing availability",IF(H9="","Missing offer",IF(L9="","Missing course URL",IF(ISERROR(SEARCH("https://www.keele.ac.uk/",L9)),"Non-Keele URL",IF(AND(D9="Foundation year",ISERROR(SEARCH("#foundationyear",L9))),"FY URL missing #foundationyear",IF(M9="","Missing display status",IF(N9="","Missing review date",IF(O9="","Missing owner",IF(P9="","Missing change note","OK")))))))))))))</x:f>
        <x:v>OK</x:v>
      </x:c>
    </x:row>
    <x:row r="10">
      <x:c r="A10" s="33" t="str">
        <x:v>2026-astrophysicswithintegratedmasters-FY</x:v>
      </x:c>
      <x:c r="B10" s="37" t="n">
        <x:v>2026</x:v>
      </x:c>
      <x:c r="C10" s="35" t="str">
        <x:v>Astrophysics with Integrated Master's with Foundation Year</x:v>
      </x:c>
      <x:c r="D10" s="33" t="str">
        <x:v>Foundation year</x:v>
      </x:c>
      <x:c r="E10" s="33" t="str">
        <x:v>Vacancies</x:v>
      </x:c>
      <x:c r="F10" s="33" t="str"/>
      <x:c r="G10" s="33" t="str"/>
      <x:c r="H10" s="35" t="str">
        <x:v>Course-specific</x:v>
      </x:c>
      <x:c r="I10" s="35" t="str">
        <x:v>No</x:v>
      </x:c>
      <x:c r="J10" s="35" t="str">
        <x:v>Foundation Year requirements vary by course. View the full course details or call 01782 491120 to discuss your qualifications.</x:v>
      </x:c>
      <x:c r="K10" s="35" t="str">
        <x:v>https://www.keele.ac.uk/clearing/entry-requirements/</x:v>
      </x:c>
      <x:c r="L10" s="35" t="str">
        <x:v>https://www.keele.ac.uk/study/undergraduate-2026/undergraduatecourses/astrophysicswithintegratedmasters/#foundationyear</x:v>
      </x:c>
      <x:c r="M10" s="33" t="str">
        <x:v>Yes</x:v>
      </x:c>
      <x:c r="N10" s="38" t="n">
        <x:v>46195</x:v>
      </x:c>
      <x:c r="O10" s="35" t="str">
        <x:v>Clearing content team</x:v>
      </x:c>
      <x:c r="P10" s="35" t="str">
        <x:v>Initial import from Clearing vacancies and ER page for 2026.docx</x:v>
      </x:c>
      <x:c r="Q10" s="36" t="str">
        <x:f>IF(A10="","Missing ID",IF(COUNTIF($A$5:$A$1000,A10)&gt;1,"Duplicate ID",IF(C10="","Missing title",IF(D10="","Missing type",IF(E10="","Missing availability",IF(H10="","Missing offer",IF(L10="","Missing course URL",IF(ISERROR(SEARCH("https://www.keele.ac.uk/",L10)),"Non-Keele URL",IF(AND(D10="Foundation year",ISERROR(SEARCH("#foundationyear",L10))),"FY URL missing #foundationyear",IF(M10="","Missing display status",IF(N10="","Missing review date",IF(O10="","Missing owner",IF(P10="","Missing change note","OK")))))))))))))</x:f>
        <x:v>OK</x:v>
      </x:c>
    </x:row>
    <x:row r="11">
      <x:c r="A11" s="33" t="str">
        <x:v>2026-N320-UG</x:v>
      </x:c>
      <x:c r="B11" s="37" t="n">
        <x:v>2026</x:v>
      </x:c>
      <x:c r="C11" s="35" t="str">
        <x:v>Banking and Finance</x:v>
      </x:c>
      <x:c r="D11" s="33" t="str">
        <x:v>Undergraduate</x:v>
      </x:c>
      <x:c r="E11" s="33" t="str">
        <x:v>Vacancies</x:v>
      </x:c>
      <x:c r="F11" s="33" t="str">
        <x:v>N320</x:v>
      </x:c>
      <x:c r="G11" s="33" t="str">
        <x:v>BSc (Hons)</x:v>
      </x:c>
      <x:c r="H11" s="35" t="str">
        <x:v>64 UCAS tariff points</x:v>
      </x:c>
      <x:c r="I11" s="35" t="str">
        <x:v>No</x:v>
      </x:c>
      <x:c r="J11" s="35" t="str">
        <x:v>Most undergraduate courses require GCSE English Language at grade 4/C or equivalent. Some courses also require GCSE Mathematics at grade 4/C or equivalent.</x:v>
      </x:c>
      <x:c r="K11" s="35" t="str">
        <x:v>https://www.keele.ac.uk/clearing/entry-requirements/</x:v>
      </x:c>
      <x:c r="L11" s="35" t="str">
        <x:v>https://www.keele.ac.uk/study/undergraduate-2026/undergraduatecourses/bankingandfinance/</x:v>
      </x:c>
      <x:c r="M11" s="33" t="str">
        <x:v>Yes</x:v>
      </x:c>
      <x:c r="N11" s="38" t="n">
        <x:v>46195</x:v>
      </x:c>
      <x:c r="O11" s="35" t="str">
        <x:v>Clearing content team</x:v>
      </x:c>
      <x:c r="P11" s="35" t="str">
        <x:v>Initial import from Clearing vacancies and ER page for 2026.docx</x:v>
      </x:c>
      <x:c r="Q11" s="36" t="str">
        <x:f>IF(A11="","Missing ID",IF(COUNTIF($A$5:$A$1000,A11)&gt;1,"Duplicate ID",IF(C11="","Missing title",IF(D11="","Missing type",IF(E11="","Missing availability",IF(H11="","Missing offer",IF(L11="","Missing course URL",IF(ISERROR(SEARCH("https://www.keele.ac.uk/",L11)),"Non-Keele URL",IF(AND(D11="Foundation year",ISERROR(SEARCH("#foundationyear",L11))),"FY URL missing #foundationyear",IF(M11="","Missing display status",IF(N11="","Missing review date",IF(O11="","Missing owner",IF(P11="","Missing change note","OK")))))))))))))</x:f>
        <x:v>OK</x:v>
      </x:c>
    </x:row>
    <x:row r="12">
      <x:c r="A12" s="33" t="str">
        <x:v>2026-bankingandfinance-FY</x:v>
      </x:c>
      <x:c r="B12" s="37" t="n">
        <x:v>2026</x:v>
      </x:c>
      <x:c r="C12" s="35" t="str">
        <x:v>Banking and Finance with Foundation Year</x:v>
      </x:c>
      <x:c r="D12" s="33" t="str">
        <x:v>Foundation year</x:v>
      </x:c>
      <x:c r="E12" s="33" t="str">
        <x:v>Vacancies</x:v>
      </x:c>
      <x:c r="F12" s="33" t="str"/>
      <x:c r="G12" s="33" t="str"/>
      <x:c r="H12" s="35" t="str">
        <x:v>Course-specific</x:v>
      </x:c>
      <x:c r="I12" s="35" t="str">
        <x:v>No</x:v>
      </x:c>
      <x:c r="J12" s="35" t="str">
        <x:v>Foundation Year requirements vary by course. View the full course details or call 01782 491120 to discuss your qualifications.</x:v>
      </x:c>
      <x:c r="K12" s="35" t="str">
        <x:v>https://www.keele.ac.uk/clearing/entry-requirements/</x:v>
      </x:c>
      <x:c r="L12" s="35" t="str">
        <x:v>https://www.keele.ac.uk/study/undergraduate-2026/undergraduatecourses/bankingandfinance/#foundationyear</x:v>
      </x:c>
      <x:c r="M12" s="33" t="str">
        <x:v>Yes</x:v>
      </x:c>
      <x:c r="N12" s="38" t="n">
        <x:v>46195</x:v>
      </x:c>
      <x:c r="O12" s="35" t="str">
        <x:v>Clearing content team</x:v>
      </x:c>
      <x:c r="P12" s="35" t="str">
        <x:v>Initial import from Clearing vacancies and ER page for 2026.docx</x:v>
      </x:c>
      <x:c r="Q12" s="36" t="str">
        <x:f>IF(A12="","Missing ID",IF(COUNTIF($A$5:$A$1000,A12)&gt;1,"Duplicate ID",IF(C12="","Missing title",IF(D12="","Missing type",IF(E12="","Missing availability",IF(H12="","Missing offer",IF(L12="","Missing course URL",IF(ISERROR(SEARCH("https://www.keele.ac.uk/",L12)),"Non-Keele URL",IF(AND(D12="Foundation year",ISERROR(SEARCH("#foundationyear",L12))),"FY URL missing #foundationyear",IF(M12="","Missing display status",IF(N12="","Missing review date",IF(O12="","Missing owner",IF(P12="","Missing change note","OK")))))))))))))</x:f>
        <x:v>OK</x:v>
      </x:c>
    </x:row>
    <x:row r="13">
      <x:c r="A13" s="33" t="str">
        <x:v>2026-C701-UG</x:v>
      </x:c>
      <x:c r="B13" s="37" t="n">
        <x:v>2026</x:v>
      </x:c>
      <x:c r="C13" s="35" t="str">
        <x:v>Biochemistry</x:v>
      </x:c>
      <x:c r="D13" s="33" t="str">
        <x:v>Undergraduate</x:v>
      </x:c>
      <x:c r="E13" s="33" t="str">
        <x:v>Vacancies</x:v>
      </x:c>
      <x:c r="F13" s="33" t="str">
        <x:v>C701</x:v>
      </x:c>
      <x:c r="G13" s="33" t="str">
        <x:v>BSc (Hons)</x:v>
      </x:c>
      <x:c r="H13" s="35" t="str">
        <x:v>64 UCAS tariff points</x:v>
      </x:c>
      <x:c r="I13" s="35" t="str">
        <x:v>Yes</x:v>
      </x:c>
      <x:c r="J13" s="35" t="str">
        <x:v>This course has additional subject-specific requirements. View the full course details or contact Admissions before applying.</x:v>
      </x:c>
      <x:c r="K13" s="35" t="str">
        <x:v>https://www.keele.ac.uk/clearing/entry-requirements/</x:v>
      </x:c>
      <x:c r="L13" s="35" t="str">
        <x:v>https://www.keele.ac.uk/study/undergraduate-2026/undergraduatecourses/biochemistry/</x:v>
      </x:c>
      <x:c r="M13" s="33" t="str">
        <x:v>Yes</x:v>
      </x:c>
      <x:c r="N13" s="38" t="n">
        <x:v>46195</x:v>
      </x:c>
      <x:c r="O13" s="35" t="str">
        <x:v>Clearing content team</x:v>
      </x:c>
      <x:c r="P13" s="35" t="str">
        <x:v>Initial import from Clearing vacancies and ER page for 2026.docx</x:v>
      </x:c>
      <x:c r="Q13" s="36" t="str">
        <x:f>IF(A13="","Missing ID",IF(COUNTIF($A$5:$A$1000,A13)&gt;1,"Duplicate ID",IF(C13="","Missing title",IF(D13="","Missing type",IF(E13="","Missing availability",IF(H13="","Missing offer",IF(L13="","Missing course URL",IF(ISERROR(SEARCH("https://www.keele.ac.uk/",L13)),"Non-Keele URL",IF(AND(D13="Foundation year",ISERROR(SEARCH("#foundationyear",L13))),"FY URL missing #foundationyear",IF(M13="","Missing display status",IF(N13="","Missing review date",IF(O13="","Missing owner",IF(P13="","Missing change note","OK")))))))))))))</x:f>
        <x:v>OK</x:v>
      </x:c>
    </x:row>
    <x:row r="14">
      <x:c r="A14" s="33" t="str">
        <x:v>2026-biochemistry-FY</x:v>
      </x:c>
      <x:c r="B14" s="37" t="n">
        <x:v>2026</x:v>
      </x:c>
      <x:c r="C14" s="35" t="str">
        <x:v>Biochemistry with Foundation Year</x:v>
      </x:c>
      <x:c r="D14" s="33" t="str">
        <x:v>Foundation year</x:v>
      </x:c>
      <x:c r="E14" s="33" t="str">
        <x:v>Vacancies</x:v>
      </x:c>
      <x:c r="F14" s="33" t="str"/>
      <x:c r="G14" s="33" t="str"/>
      <x:c r="H14" s="35" t="str">
        <x:v>Course-specific</x:v>
      </x:c>
      <x:c r="I14" s="35" t="str">
        <x:v>No</x:v>
      </x:c>
      <x:c r="J14" s="35" t="str">
        <x:v>Foundation Year requirements vary by course. View the full course details or call 01782 491120 to discuss your qualifications.</x:v>
      </x:c>
      <x:c r="K14" s="35" t="str">
        <x:v>https://www.keele.ac.uk/clearing/entry-requirements/</x:v>
      </x:c>
      <x:c r="L14" s="35" t="str">
        <x:v>https://www.keele.ac.uk/study/undergraduate-2026/undergraduatecourses/biochemistry/#foundationyear</x:v>
      </x:c>
      <x:c r="M14" s="33" t="str">
        <x:v>Yes</x:v>
      </x:c>
      <x:c r="N14" s="38" t="n">
        <x:v>46195</x:v>
      </x:c>
      <x:c r="O14" s="35" t="str">
        <x:v>Clearing content team</x:v>
      </x:c>
      <x:c r="P14" s="35" t="str">
        <x:v>Initial import from Clearing vacancies and ER page for 2026.docx</x:v>
      </x:c>
      <x:c r="Q14" s="36" t="str">
        <x:f>IF(A14="","Missing ID",IF(COUNTIF($A$5:$A$1000,A14)&gt;1,"Duplicate ID",IF(C14="","Missing title",IF(D14="","Missing type",IF(E14="","Missing availability",IF(H14="","Missing offer",IF(L14="","Missing course URL",IF(ISERROR(SEARCH("https://www.keele.ac.uk/",L14)),"Non-Keele URL",IF(AND(D14="Foundation year",ISERROR(SEARCH("#foundationyear",L14))),"FY URL missing #foundationyear",IF(M14="","Missing display status",IF(N14="","Missing review date",IF(O14="","Missing owner",IF(P14="","Missing change note","OK")))))))))))))</x:f>
        <x:v>OK</x:v>
      </x:c>
    </x:row>
    <x:row r="15">
      <x:c r="A15" s="33" t="str">
        <x:v>2026-C702-UG</x:v>
      </x:c>
      <x:c r="B15" s="37" t="n">
        <x:v>2026</x:v>
      </x:c>
      <x:c r="C15" s="35" t="str">
        <x:v>Biochemistry with Integrated Master's</x:v>
      </x:c>
      <x:c r="D15" s="33" t="str">
        <x:v>Undergraduate</x:v>
      </x:c>
      <x:c r="E15" s="33" t="str">
        <x:v>Vacancies</x:v>
      </x:c>
      <x:c r="F15" s="33" t="str">
        <x:v>C702</x:v>
      </x:c>
      <x:c r="G15" s="33" t="str">
        <x:v>MSci</x:v>
      </x:c>
      <x:c r="H15" s="35" t="str">
        <x:v>64 UCAS tariff points</x:v>
      </x:c>
      <x:c r="I15" s="35" t="str">
        <x:v>Yes</x:v>
      </x:c>
      <x:c r="J15" s="35" t="str">
        <x:v>This course has additional subject-specific requirements. View the full course details or contact Admissions before applying.</x:v>
      </x:c>
      <x:c r="K15" s="35" t="str">
        <x:v>https://www.keele.ac.uk/clearing/entry-requirements/</x:v>
      </x:c>
      <x:c r="L15" s="35" t="str">
        <x:v>https://www.keele.ac.uk/study/undergraduate-2026/undergraduatecourses/biochemistrywithintegratedmasters/</x:v>
      </x:c>
      <x:c r="M15" s="33" t="str">
        <x:v>Yes</x:v>
      </x:c>
      <x:c r="N15" s="38" t="n">
        <x:v>46195</x:v>
      </x:c>
      <x:c r="O15" s="35" t="str">
        <x:v>Clearing content team</x:v>
      </x:c>
      <x:c r="P15" s="35" t="str">
        <x:v>Initial import from Clearing vacancies and ER page for 2026.docx</x:v>
      </x:c>
      <x:c r="Q15" s="36" t="str">
        <x:f>IF(A15="","Missing ID",IF(COUNTIF($A$5:$A$1000,A15)&gt;1,"Duplicate ID",IF(C15="","Missing title",IF(D15="","Missing type",IF(E15="","Missing availability",IF(H15="","Missing offer",IF(L15="","Missing course URL",IF(ISERROR(SEARCH("https://www.keele.ac.uk/",L15)),"Non-Keele URL",IF(AND(D15="Foundation year",ISERROR(SEARCH("#foundationyear",L15))),"FY URL missing #foundationyear",IF(M15="","Missing display status",IF(N15="","Missing review date",IF(O15="","Missing owner",IF(P15="","Missing change note","OK")))))))))))))</x:f>
        <x:v>OK</x:v>
      </x:c>
    </x:row>
    <x:row r="16">
      <x:c r="A16" s="33" t="str">
        <x:v>2026-biochemistrywithintegratedmasters-FY</x:v>
      </x:c>
      <x:c r="B16" s="37" t="n">
        <x:v>2026</x:v>
      </x:c>
      <x:c r="C16" s="35" t="str">
        <x:v>Biochemistry with Integrated Master's with Foundation Year</x:v>
      </x:c>
      <x:c r="D16" s="33" t="str">
        <x:v>Foundation year</x:v>
      </x:c>
      <x:c r="E16" s="33" t="str">
        <x:v>Vacancies</x:v>
      </x:c>
      <x:c r="F16" s="33" t="str"/>
      <x:c r="G16" s="33" t="str"/>
      <x:c r="H16" s="35" t="str">
        <x:v>Course-specific</x:v>
      </x:c>
      <x:c r="I16" s="35" t="str">
        <x:v>No</x:v>
      </x:c>
      <x:c r="J16" s="35" t="str">
        <x:v>Foundation Year requirements vary by course. View the full course details or call 01782 491120 to discuss your qualifications.</x:v>
      </x:c>
      <x:c r="K16" s="35" t="str">
        <x:v>https://www.keele.ac.uk/clearing/entry-requirements/</x:v>
      </x:c>
      <x:c r="L16" s="35" t="str">
        <x:v>https://www.keele.ac.uk/study/undergraduate-2026/undergraduatecourses/biochemistrywithintegratedmasters/#foundationyear</x:v>
      </x:c>
      <x:c r="M16" s="33" t="str">
        <x:v>Yes</x:v>
      </x:c>
      <x:c r="N16" s="38" t="n">
        <x:v>46195</x:v>
      </x:c>
      <x:c r="O16" s="35" t="str">
        <x:v>Clearing content team</x:v>
      </x:c>
      <x:c r="P16" s="35" t="str">
        <x:v>Initial import from Clearing vacancies and ER page for 2026.docx</x:v>
      </x:c>
      <x:c r="Q16" s="36" t="str">
        <x:f>IF(A16="","Missing ID",IF(COUNTIF($A$5:$A$1000,A16)&gt;1,"Duplicate ID",IF(C16="","Missing title",IF(D16="","Missing type",IF(E16="","Missing availability",IF(H16="","Missing offer",IF(L16="","Missing course URL",IF(ISERROR(SEARCH("https://www.keele.ac.uk/",L16)),"Non-Keele URL",IF(AND(D16="Foundation year",ISERROR(SEARCH("#foundationyear",L16))),"FY URL missing #foundationyear",IF(M16="","Missing display status",IF(N16="","Missing review date",IF(O16="","Missing owner",IF(P16="","Missing change note","OK")))))))))))))</x:f>
        <x:v>OK</x:v>
      </x:c>
    </x:row>
    <x:row r="17">
      <x:c r="A17" s="33" t="str">
        <x:v>2026-B7C1-UG</x:v>
      </x:c>
      <x:c r="B17" s="37" t="n">
        <x:v>2026</x:v>
      </x:c>
      <x:c r="C17" s="35" t="str">
        <x:v>Biochemistry with Neuroscience</x:v>
      </x:c>
      <x:c r="D17" s="33" t="str">
        <x:v>Undergraduate</x:v>
      </x:c>
      <x:c r="E17" s="33" t="str">
        <x:v>Vacancies</x:v>
      </x:c>
      <x:c r="F17" s="33" t="str">
        <x:v>B7C1</x:v>
      </x:c>
      <x:c r="G17" s="33" t="str">
        <x:v>BSc (Hons)</x:v>
      </x:c>
      <x:c r="H17" s="35" t="str">
        <x:v>64 UCAS tariff points</x:v>
      </x:c>
      <x:c r="I17" s="35" t="str">
        <x:v>Yes</x:v>
      </x:c>
      <x:c r="J17" s="35" t="str">
        <x:v>This course has additional subject-specific requirements. View the full course details or contact Admissions before applying.</x:v>
      </x:c>
      <x:c r="K17" s="35" t="str">
        <x:v>https://www.keele.ac.uk/clearing/entry-requirements/</x:v>
      </x:c>
      <x:c r="L17" s="35" t="str">
        <x:v>https://www.keele.ac.uk/study/undergraduate-2026/undergraduatecourses/biochemistrywithneuroscience/</x:v>
      </x:c>
      <x:c r="M17" s="33" t="str">
        <x:v>Yes</x:v>
      </x:c>
      <x:c r="N17" s="38" t="n">
        <x:v>46195</x:v>
      </x:c>
      <x:c r="O17" s="35" t="str">
        <x:v>Clearing content team</x:v>
      </x:c>
      <x:c r="P17" s="35" t="str">
        <x:v>Initial import from Clearing vacancies and ER page for 2026.docx</x:v>
      </x:c>
      <x:c r="Q17" s="36" t="str">
        <x:f>IF(A17="","Missing ID",IF(COUNTIF($A$5:$A$1000,A17)&gt;1,"Duplicate ID",IF(C17="","Missing title",IF(D17="","Missing type",IF(E17="","Missing availability",IF(H17="","Missing offer",IF(L17="","Missing course URL",IF(ISERROR(SEARCH("https://www.keele.ac.uk/",L17)),"Non-Keele URL",IF(AND(D17="Foundation year",ISERROR(SEARCH("#foundationyear",L17))),"FY URL missing #foundationyear",IF(M17="","Missing display status",IF(N17="","Missing review date",IF(O17="","Missing owner",IF(P17="","Missing change note","OK")))))))))))))</x:f>
        <x:v>OK</x:v>
      </x:c>
    </x:row>
    <x:row r="18">
      <x:c r="A18" s="33" t="str">
        <x:v>2026-biochemistrywithneuroscience-FY</x:v>
      </x:c>
      <x:c r="B18" s="37" t="n">
        <x:v>2026</x:v>
      </x:c>
      <x:c r="C18" s="35" t="str">
        <x:v>Biochemistry with Neuroscience with Foundation Year</x:v>
      </x:c>
      <x:c r="D18" s="33" t="str">
        <x:v>Foundation year</x:v>
      </x:c>
      <x:c r="E18" s="33" t="str">
        <x:v>Vacancies</x:v>
      </x:c>
      <x:c r="F18" s="33" t="str"/>
      <x:c r="G18" s="33" t="str"/>
      <x:c r="H18" s="35" t="str">
        <x:v>Course-specific</x:v>
      </x:c>
      <x:c r="I18" s="35" t="str">
        <x:v>No</x:v>
      </x:c>
      <x:c r="J18" s="35" t="str">
        <x:v>Foundation Year requirements vary by course. View the full course details or call 01782 491120 to discuss your qualifications.</x:v>
      </x:c>
      <x:c r="K18" s="35" t="str">
        <x:v>https://www.keele.ac.uk/clearing/entry-requirements/</x:v>
      </x:c>
      <x:c r="L18" s="35" t="str">
        <x:v>https://www.keele.ac.uk/study/undergraduate-2026/undergraduatecourses/biochemistrywithneuroscience/#foundationyear</x:v>
      </x:c>
      <x:c r="M18" s="33" t="str">
        <x:v>Yes</x:v>
      </x:c>
      <x:c r="N18" s="38" t="n">
        <x:v>46195</x:v>
      </x:c>
      <x:c r="O18" s="35" t="str">
        <x:v>Clearing content team</x:v>
      </x:c>
      <x:c r="P18" s="35" t="str">
        <x:v>Initial import from Clearing vacancies and ER page for 2026.docx</x:v>
      </x:c>
      <x:c r="Q18" s="36" t="str">
        <x:f>IF(A18="","Missing ID",IF(COUNTIF($A$5:$A$1000,A18)&gt;1,"Duplicate ID",IF(C18="","Missing title",IF(D18="","Missing type",IF(E18="","Missing availability",IF(H18="","Missing offer",IF(L18="","Missing course URL",IF(ISERROR(SEARCH("https://www.keele.ac.uk/",L18)),"Non-Keele URL",IF(AND(D18="Foundation year",ISERROR(SEARCH("#foundationyear",L18))),"FY URL missing #foundationyear",IF(M18="","Missing display status",IF(N18="","Missing review date",IF(O18="","Missing owner",IF(P18="","Missing change note","OK")))))))))))))</x:f>
        <x:v>OK</x:v>
      </x:c>
    </x:row>
    <x:row r="19">
      <x:c r="A19" s="33" t="str">
        <x:v>2026-BC71-UG</x:v>
      </x:c>
      <x:c r="B19" s="37" t="n">
        <x:v>2026</x:v>
      </x:c>
      <x:c r="C19" s="35" t="str">
        <x:v>Biochemistry with Neuroscience with Integrated Master's</x:v>
      </x:c>
      <x:c r="D19" s="33" t="str">
        <x:v>Undergraduate</x:v>
      </x:c>
      <x:c r="E19" s="33" t="str">
        <x:v>Vacancies</x:v>
      </x:c>
      <x:c r="F19" s="33" t="str">
        <x:v>BC71</x:v>
      </x:c>
      <x:c r="G19" s="33" t="str">
        <x:v>MSci</x:v>
      </x:c>
      <x:c r="H19" s="35" t="str">
        <x:v>64 UCAS tariff points</x:v>
      </x:c>
      <x:c r="I19" s="35" t="str">
        <x:v>Yes</x:v>
      </x:c>
      <x:c r="J19" s="35" t="str">
        <x:v>This course has additional subject-specific requirements. View the full course details or contact Admissions before applying.</x:v>
      </x:c>
      <x:c r="K19" s="35" t="str">
        <x:v>https://www.keele.ac.uk/clearing/entry-requirements/</x:v>
      </x:c>
      <x:c r="L19" s="35" t="str">
        <x:v>https://www.keele.ac.uk/study/undergraduate-2026/undergraduatecourses/biochemistrywithneurosciencewithintegratedmasters/</x:v>
      </x:c>
      <x:c r="M19" s="33" t="str">
        <x:v>Yes</x:v>
      </x:c>
      <x:c r="N19" s="38" t="n">
        <x:v>46195</x:v>
      </x:c>
      <x:c r="O19" s="35" t="str">
        <x:v>Clearing content team</x:v>
      </x:c>
      <x:c r="P19" s="35" t="str">
        <x:v>Initial import from Clearing vacancies and ER page for 2026.docx</x:v>
      </x:c>
      <x:c r="Q19" s="36" t="str">
        <x:f>IF(A19="","Missing ID",IF(COUNTIF($A$5:$A$1000,A19)&gt;1,"Duplicate ID",IF(C19="","Missing title",IF(D19="","Missing type",IF(E19="","Missing availability",IF(H19="","Missing offer",IF(L19="","Missing course URL",IF(ISERROR(SEARCH("https://www.keele.ac.uk/",L19)),"Non-Keele URL",IF(AND(D19="Foundation year",ISERROR(SEARCH("#foundationyear",L19))),"FY URL missing #foundationyear",IF(M19="","Missing display status",IF(N19="","Missing review date",IF(O19="","Missing owner",IF(P19="","Missing change note","OK")))))))))))))</x:f>
        <x:v>OK</x:v>
      </x:c>
    </x:row>
    <x:row r="20">
      <x:c r="A20" s="33" t="str">
        <x:v>2026-biochemistrywithneurosciencewithintegratedmasters-FY</x:v>
      </x:c>
      <x:c r="B20" s="37" t="n">
        <x:v>2026</x:v>
      </x:c>
      <x:c r="C20" s="35" t="str">
        <x:v>Biochemistry with Neuroscience with Integrated Master's with Foundation Year</x:v>
      </x:c>
      <x:c r="D20" s="33" t="str">
        <x:v>Foundation year</x:v>
      </x:c>
      <x:c r="E20" s="33" t="str">
        <x:v>Vacancies</x:v>
      </x:c>
      <x:c r="F20" s="33" t="str"/>
      <x:c r="G20" s="33" t="str"/>
      <x:c r="H20" s="35" t="str">
        <x:v>Course-specific</x:v>
      </x:c>
      <x:c r="I20" s="35" t="str">
        <x:v>No</x:v>
      </x:c>
      <x:c r="J20" s="35" t="str">
        <x:v>Foundation Year requirements vary by course. View the full course details or call 01782 491120 to discuss your qualifications.</x:v>
      </x:c>
      <x:c r="K20" s="35" t="str">
        <x:v>https://www.keele.ac.uk/clearing/entry-requirements/</x:v>
      </x:c>
      <x:c r="L20" s="35" t="str">
        <x:v>https://www.keele.ac.uk/study/undergraduate-2026/undergraduatecourses/biochemistrywithneurosciencewithintegratedmasters/#foundationyear</x:v>
      </x:c>
      <x:c r="M20" s="33" t="str">
        <x:v>Yes</x:v>
      </x:c>
      <x:c r="N20" s="38" t="n">
        <x:v>46195</x:v>
      </x:c>
      <x:c r="O20" s="35" t="str">
        <x:v>Clearing content team</x:v>
      </x:c>
      <x:c r="P20" s="35" t="str">
        <x:v>Initial import from Clearing vacancies and ER page for 2026.docx</x:v>
      </x:c>
      <x:c r="Q20" s="36" t="str">
        <x:f>IF(A20="","Missing ID",IF(COUNTIF($A$5:$A$1000,A20)&gt;1,"Duplicate ID",IF(C20="","Missing title",IF(D20="","Missing type",IF(E20="","Missing availability",IF(H20="","Missing offer",IF(L20="","Missing course URL",IF(ISERROR(SEARCH("https://www.keele.ac.uk/",L20)),"Non-Keele URL",IF(AND(D20="Foundation year",ISERROR(SEARCH("#foundationyear",L20))),"FY URL missing #foundationyear",IF(M20="","Missing display status",IF(N20="","Missing review date",IF(O20="","Missing owner",IF(P20="","Missing change note","OK")))))))))))))</x:f>
        <x:v>OK</x:v>
      </x:c>
    </x:row>
    <x:row r="21">
      <x:c r="A21" s="33" t="str">
        <x:v>2026-C110-UG</x:v>
      </x:c>
      <x:c r="B21" s="37" t="n">
        <x:v>2026</x:v>
      </x:c>
      <x:c r="C21" s="35" t="str">
        <x:v>Bioengineering (Regenerative Medicine)</x:v>
      </x:c>
      <x:c r="D21" s="33" t="str">
        <x:v>Undergraduate</x:v>
      </x:c>
      <x:c r="E21" s="33" t="str">
        <x:v>Vacancies</x:v>
      </x:c>
      <x:c r="F21" s="33" t="str">
        <x:v>C110</x:v>
      </x:c>
      <x:c r="G21" s="33" t="str">
        <x:v>BSc (Hons)</x:v>
      </x:c>
      <x:c r="H21" s="35" t="str">
        <x:v>64 UCAS tariff points</x:v>
      </x:c>
      <x:c r="I21" s="35" t="str">
        <x:v>Yes</x:v>
      </x:c>
      <x:c r="J21" s="35" t="str">
        <x:v>This course has additional subject-specific requirements. View the full course details or contact Admissions before applying.</x:v>
      </x:c>
      <x:c r="K21" s="35" t="str">
        <x:v>https://www.keele.ac.uk/clearing/entry-requirements/</x:v>
      </x:c>
      <x:c r="L21" s="35" t="str">
        <x:v>https://www.keele.ac.uk/study/undergraduate-2026/undergraduatecourses/bioengineeringregenerativemedicine/</x:v>
      </x:c>
      <x:c r="M21" s="33" t="str">
        <x:v>Yes</x:v>
      </x:c>
      <x:c r="N21" s="38" t="n">
        <x:v>46195</x:v>
      </x:c>
      <x:c r="O21" s="35" t="str">
        <x:v>Clearing content team</x:v>
      </x:c>
      <x:c r="P21" s="35" t="str">
        <x:v>Initial import from Clearing vacancies and ER page for 2026.docx</x:v>
      </x:c>
      <x:c r="Q21" s="36" t="str">
        <x:f>IF(A21="","Missing ID",IF(COUNTIF($A$5:$A$1000,A21)&gt;1,"Duplicate ID",IF(C21="","Missing title",IF(D21="","Missing type",IF(E21="","Missing availability",IF(H21="","Missing offer",IF(L21="","Missing course URL",IF(ISERROR(SEARCH("https://www.keele.ac.uk/",L21)),"Non-Keele URL",IF(AND(D21="Foundation year",ISERROR(SEARCH("#foundationyear",L21))),"FY URL missing #foundationyear",IF(M21="","Missing display status",IF(N21="","Missing review date",IF(O21="","Missing owner",IF(P21="","Missing change note","OK")))))))))))))</x:f>
        <x:v>OK</x:v>
      </x:c>
    </x:row>
    <x:row r="22">
      <x:c r="A22" s="33" t="str">
        <x:v>2026-bioengineeringregenerativemedicine-FY</x:v>
      </x:c>
      <x:c r="B22" s="37" t="n">
        <x:v>2026</x:v>
      </x:c>
      <x:c r="C22" s="35" t="str">
        <x:v>Bioengineering (Regenerative Medicine) with Foundation Year</x:v>
      </x:c>
      <x:c r="D22" s="33" t="str">
        <x:v>Foundation year</x:v>
      </x:c>
      <x:c r="E22" s="33" t="str">
        <x:v>Vacancies</x:v>
      </x:c>
      <x:c r="F22" s="33" t="str"/>
      <x:c r="G22" s="33" t="str"/>
      <x:c r="H22" s="35" t="str">
        <x:v>Course-specific</x:v>
      </x:c>
      <x:c r="I22" s="35" t="str">
        <x:v>No</x:v>
      </x:c>
      <x:c r="J22" s="35" t="str">
        <x:v>Foundation Year requirements vary by course. View the full course details or call 01782 491120 to discuss your qualifications.</x:v>
      </x:c>
      <x:c r="K22" s="35" t="str">
        <x:v>https://www.keele.ac.uk/clearing/entry-requirements/</x:v>
      </x:c>
      <x:c r="L22" s="35" t="str">
        <x:v>https://www.keele.ac.uk/study/undergraduate-2026/undergraduatecourses/bioengineeringregenerativemedicine/#foundationyear</x:v>
      </x:c>
      <x:c r="M22" s="33" t="str">
        <x:v>Yes</x:v>
      </x:c>
      <x:c r="N22" s="38" t="n">
        <x:v>46195</x:v>
      </x:c>
      <x:c r="O22" s="35" t="str">
        <x:v>Clearing content team</x:v>
      </x:c>
      <x:c r="P22" s="35" t="str">
        <x:v>Initial import from Clearing vacancies and ER page for 2026.docx</x:v>
      </x:c>
      <x:c r="Q22" s="36" t="str">
        <x:f>IF(A22="","Missing ID",IF(COUNTIF($A$5:$A$1000,A22)&gt;1,"Duplicate ID",IF(C22="","Missing title",IF(D22="","Missing type",IF(E22="","Missing availability",IF(H22="","Missing offer",IF(L22="","Missing course URL",IF(ISERROR(SEARCH("https://www.keele.ac.uk/",L22)),"Non-Keele URL",IF(AND(D22="Foundation year",ISERROR(SEARCH("#foundationyear",L22))),"FY URL missing #foundationyear",IF(M22="","Missing display status",IF(N22="","Missing review date",IF(O22="","Missing owner",IF(P22="","Missing change note","OK")))))))))))))</x:f>
        <x:v>OK</x:v>
      </x:c>
    </x:row>
    <x:row r="23">
      <x:c r="A23" s="33" t="str">
        <x:v>2026-C102-UG</x:v>
      </x:c>
      <x:c r="B23" s="37" t="n">
        <x:v>2026</x:v>
      </x:c>
      <x:c r="C23" s="35" t="str">
        <x:v>Biology</x:v>
      </x:c>
      <x:c r="D23" s="33" t="str">
        <x:v>Undergraduate</x:v>
      </x:c>
      <x:c r="E23" s="33" t="str">
        <x:v>Vacancies</x:v>
      </x:c>
      <x:c r="F23" s="33" t="str">
        <x:v>C102</x:v>
      </x:c>
      <x:c r="G23" s="33" t="str">
        <x:v>BSc (Hons)</x:v>
      </x:c>
      <x:c r="H23" s="35" t="str">
        <x:v>64 UCAS tariff points</x:v>
      </x:c>
      <x:c r="I23" s="35" t="str">
        <x:v>Yes</x:v>
      </x:c>
      <x:c r="J23" s="35" t="str">
        <x:v>This course has additional subject-specific requirements. View the full course details or contact Admissions before applying.</x:v>
      </x:c>
      <x:c r="K23" s="35" t="str">
        <x:v>https://www.keele.ac.uk/clearing/entry-requirements/</x:v>
      </x:c>
      <x:c r="L23" s="35" t="str">
        <x:v>https://www.keele.ac.uk/study/undergraduate-2026/undergraduatecourses/biology/</x:v>
      </x:c>
      <x:c r="M23" s="33" t="str">
        <x:v>Yes</x:v>
      </x:c>
      <x:c r="N23" s="38" t="n">
        <x:v>46195</x:v>
      </x:c>
      <x:c r="O23" s="35" t="str">
        <x:v>Clearing content team</x:v>
      </x:c>
      <x:c r="P23" s="35" t="str">
        <x:v>Initial import from Clearing vacancies and ER page for 2026.docx</x:v>
      </x:c>
      <x:c r="Q23" s="36" t="str">
        <x:f>IF(A23="","Missing ID",IF(COUNTIF($A$5:$A$1000,A23)&gt;1,"Duplicate ID",IF(C23="","Missing title",IF(D23="","Missing type",IF(E23="","Missing availability",IF(H23="","Missing offer",IF(L23="","Missing course URL",IF(ISERROR(SEARCH("https://www.keele.ac.uk/",L23)),"Non-Keele URL",IF(AND(D23="Foundation year",ISERROR(SEARCH("#foundationyear",L23))),"FY URL missing #foundationyear",IF(M23="","Missing display status",IF(N23="","Missing review date",IF(O23="","Missing owner",IF(P23="","Missing change note","OK")))))))))))))</x:f>
        <x:v>OK</x:v>
      </x:c>
    </x:row>
    <x:row r="24">
      <x:c r="A24" s="33" t="str">
        <x:v>2026-biology-FY</x:v>
      </x:c>
      <x:c r="B24" s="37" t="n">
        <x:v>2026</x:v>
      </x:c>
      <x:c r="C24" s="35" t="str">
        <x:v>Biology with Foundation Year</x:v>
      </x:c>
      <x:c r="D24" s="33" t="str">
        <x:v>Foundation year</x:v>
      </x:c>
      <x:c r="E24" s="33" t="str">
        <x:v>Vacancies</x:v>
      </x:c>
      <x:c r="F24" s="33" t="str"/>
      <x:c r="G24" s="33" t="str"/>
      <x:c r="H24" s="35" t="str">
        <x:v>Course-specific</x:v>
      </x:c>
      <x:c r="I24" s="35" t="str">
        <x:v>No</x:v>
      </x:c>
      <x:c r="J24" s="35" t="str">
        <x:v>Foundation Year requirements vary by course. View the full course details or call 01782 491120 to discuss your qualifications.</x:v>
      </x:c>
      <x:c r="K24" s="35" t="str">
        <x:v>https://www.keele.ac.uk/clearing/entry-requirements/</x:v>
      </x:c>
      <x:c r="L24" s="35" t="str">
        <x:v>https://www.keele.ac.uk/study/undergraduate-2026/undergraduatecourses/biology/#foundationyear</x:v>
      </x:c>
      <x:c r="M24" s="33" t="str">
        <x:v>Yes</x:v>
      </x:c>
      <x:c r="N24" s="38" t="n">
        <x:v>46195</x:v>
      </x:c>
      <x:c r="O24" s="35" t="str">
        <x:v>Clearing content team</x:v>
      </x:c>
      <x:c r="P24" s="35" t="str">
        <x:v>Initial import from Clearing vacancies and ER page for 2026.docx</x:v>
      </x:c>
      <x:c r="Q24" s="36" t="str">
        <x:f>IF(A24="","Missing ID",IF(COUNTIF($A$5:$A$1000,A24)&gt;1,"Duplicate ID",IF(C24="","Missing title",IF(D24="","Missing type",IF(E24="","Missing availability",IF(H24="","Missing offer",IF(L24="","Missing course URL",IF(ISERROR(SEARCH("https://www.keele.ac.uk/",L24)),"Non-Keele URL",IF(AND(D24="Foundation year",ISERROR(SEARCH("#foundationyear",L24))),"FY URL missing #foundationyear",IF(M24="","Missing display status",IF(N24="","Missing review date",IF(O24="","Missing owner",IF(P24="","Missing change note","OK")))))))))))))</x:f>
        <x:v>OK</x:v>
      </x:c>
    </x:row>
    <x:row r="25">
      <x:c r="A25" s="33" t="str">
        <x:v>2026-C900-UG</x:v>
      </x:c>
      <x:c r="B25" s="37" t="n">
        <x:v>2026</x:v>
      </x:c>
      <x:c r="C25" s="35" t="str">
        <x:v>Biomedical Science</x:v>
      </x:c>
      <x:c r="D25" s="33" t="str">
        <x:v>Undergraduate</x:v>
      </x:c>
      <x:c r="E25" s="33" t="str">
        <x:v>Vacancies</x:v>
      </x:c>
      <x:c r="F25" s="33" t="str">
        <x:v>C900</x:v>
      </x:c>
      <x:c r="G25" s="33" t="str">
        <x:v>BSc (Hons)</x:v>
      </x:c>
      <x:c r="H25" s="35" t="str">
        <x:v>64 UCAS tariff points</x:v>
      </x:c>
      <x:c r="I25" s="35" t="str">
        <x:v>Yes</x:v>
      </x:c>
      <x:c r="J25" s="35" t="str">
        <x:v>This course has additional subject-specific requirements. View the full course details or contact Admissions before applying.</x:v>
      </x:c>
      <x:c r="K25" s="35" t="str">
        <x:v>https://www.keele.ac.uk/clearing/entry-requirements/</x:v>
      </x:c>
      <x:c r="L25" s="35" t="str">
        <x:v>https://www.keele.ac.uk/study/undergraduate-2026/undergraduatecourses/biomedicalscience/</x:v>
      </x:c>
      <x:c r="M25" s="33" t="str">
        <x:v>Yes</x:v>
      </x:c>
      <x:c r="N25" s="38" t="n">
        <x:v>46195</x:v>
      </x:c>
      <x:c r="O25" s="35" t="str">
        <x:v>Clearing content team</x:v>
      </x:c>
      <x:c r="P25" s="35" t="str">
        <x:v>Initial import from Clearing vacancies and ER page for 2026.docx</x:v>
      </x:c>
      <x:c r="Q25" s="36" t="str">
        <x:f>IF(A25="","Missing ID",IF(COUNTIF($A$5:$A$1000,A25)&gt;1,"Duplicate ID",IF(C25="","Missing title",IF(D25="","Missing type",IF(E25="","Missing availability",IF(H25="","Missing offer",IF(L25="","Missing course URL",IF(ISERROR(SEARCH("https://www.keele.ac.uk/",L25)),"Non-Keele URL",IF(AND(D25="Foundation year",ISERROR(SEARCH("#foundationyear",L25))),"FY URL missing #foundationyear",IF(M25="","Missing display status",IF(N25="","Missing review date",IF(O25="","Missing owner",IF(P25="","Missing change note","OK")))))))))))))</x:f>
        <x:v>OK</x:v>
      </x:c>
    </x:row>
    <x:row r="26">
      <x:c r="A26" s="33" t="str">
        <x:v>2026-biomedicalscience-FY</x:v>
      </x:c>
      <x:c r="B26" s="37" t="n">
        <x:v>2026</x:v>
      </x:c>
      <x:c r="C26" s="35" t="str">
        <x:v>Biomedical Science with Foundation Year</x:v>
      </x:c>
      <x:c r="D26" s="33" t="str">
        <x:v>Foundation year</x:v>
      </x:c>
      <x:c r="E26" s="33" t="str">
        <x:v>Vacancies</x:v>
      </x:c>
      <x:c r="F26" s="33" t="str"/>
      <x:c r="G26" s="33" t="str"/>
      <x:c r="H26" s="35" t="str">
        <x:v>Course-specific</x:v>
      </x:c>
      <x:c r="I26" s="35" t="str">
        <x:v>No</x:v>
      </x:c>
      <x:c r="J26" s="35" t="str">
        <x:v>Foundation Year requirements vary by course. View the full course details or call 01782 491120 to discuss your qualifications.</x:v>
      </x:c>
      <x:c r="K26" s="35" t="str">
        <x:v>https://www.keele.ac.uk/clearing/entry-requirements/</x:v>
      </x:c>
      <x:c r="L26" s="35" t="str">
        <x:v>https://www.keele.ac.uk/study/undergraduate-2026/undergraduatecourses/biomedicalscience/#foundationyear</x:v>
      </x:c>
      <x:c r="M26" s="33" t="str">
        <x:v>Yes</x:v>
      </x:c>
      <x:c r="N26" s="38" t="n">
        <x:v>46195</x:v>
      </x:c>
      <x:c r="O26" s="35" t="str">
        <x:v>Clearing content team</x:v>
      </x:c>
      <x:c r="P26" s="35" t="str">
        <x:v>Initial import from Clearing vacancies and ER page for 2026.docx</x:v>
      </x:c>
      <x:c r="Q26" s="36" t="str">
        <x:f>IF(A26="","Missing ID",IF(COUNTIF($A$5:$A$1000,A26)&gt;1,"Duplicate ID",IF(C26="","Missing title",IF(D26="","Missing type",IF(E26="","Missing availability",IF(H26="","Missing offer",IF(L26="","Missing course URL",IF(ISERROR(SEARCH("https://www.keele.ac.uk/",L26)),"Non-Keele URL",IF(AND(D26="Foundation year",ISERROR(SEARCH("#foundationyear",L26))),"FY URL missing #foundationyear",IF(M26="","Missing display status",IF(N26="","Missing review date",IF(O26="","Missing owner",IF(P26="","Missing change note","OK")))))))))))))</x:f>
        <x:v>OK</x:v>
      </x:c>
    </x:row>
    <x:row r="27">
      <x:c r="A27" s="33" t="str">
        <x:v>2026-D300-UG</x:v>
      </x:c>
      <x:c r="B27" s="37" t="n">
        <x:v>2026</x:v>
      </x:c>
      <x:c r="C27" s="35" t="str">
        <x:v>Bioveterinary Science</x:v>
      </x:c>
      <x:c r="D27" s="33" t="str">
        <x:v>Undergraduate</x:v>
      </x:c>
      <x:c r="E27" s="33" t="str">
        <x:v>Vacancies</x:v>
      </x:c>
      <x:c r="F27" s="33" t="str">
        <x:v>D300</x:v>
      </x:c>
      <x:c r="G27" s="33" t="str">
        <x:v>BSc (Hons)</x:v>
      </x:c>
      <x:c r="H27" s="35" t="str">
        <x:v>64 UCAS tariff points</x:v>
      </x:c>
      <x:c r="I27" s="35" t="str">
        <x:v>Yes</x:v>
      </x:c>
      <x:c r="J27" s="35" t="str">
        <x:v>This course has additional subject-specific requirements. View the full course details or contact Admissions before applying.</x:v>
      </x:c>
      <x:c r="K27" s="35" t="str">
        <x:v>https://www.keele.ac.uk/clearing/entry-requirements/</x:v>
      </x:c>
      <x:c r="L27" s="35" t="str">
        <x:v>https://www.keele.ac.uk/study/undergraduate-2026/undergraduatecourses/bioveterinaryscience/</x:v>
      </x:c>
      <x:c r="M27" s="33" t="str">
        <x:v>Yes</x:v>
      </x:c>
      <x:c r="N27" s="38" t="n">
        <x:v>46195</x:v>
      </x:c>
      <x:c r="O27" s="35" t="str">
        <x:v>Clearing content team</x:v>
      </x:c>
      <x:c r="P27" s="35" t="str">
        <x:v>Initial import from Clearing vacancies and ER page for 2026.docx</x:v>
      </x:c>
      <x:c r="Q27" s="36" t="str">
        <x:f>IF(A27="","Missing ID",IF(COUNTIF($A$5:$A$1000,A27)&gt;1,"Duplicate ID",IF(C27="","Missing title",IF(D27="","Missing type",IF(E27="","Missing availability",IF(H27="","Missing offer",IF(L27="","Missing course URL",IF(ISERROR(SEARCH("https://www.keele.ac.uk/",L27)),"Non-Keele URL",IF(AND(D27="Foundation year",ISERROR(SEARCH("#foundationyear",L27))),"FY URL missing #foundationyear",IF(M27="","Missing display status",IF(N27="","Missing review date",IF(O27="","Missing owner",IF(P27="","Missing change note","OK")))))))))))))</x:f>
        <x:v>OK</x:v>
      </x:c>
    </x:row>
    <x:row r="28">
      <x:c r="A28" s="33" t="str">
        <x:v>2026-bioveterinaryscience-FY</x:v>
      </x:c>
      <x:c r="B28" s="37" t="n">
        <x:v>2026</x:v>
      </x:c>
      <x:c r="C28" s="35" t="str">
        <x:v>Bioveterinary Science with Foundation Year</x:v>
      </x:c>
      <x:c r="D28" s="33" t="str">
        <x:v>Foundation year</x:v>
      </x:c>
      <x:c r="E28" s="33" t="str">
        <x:v>Vacancies</x:v>
      </x:c>
      <x:c r="F28" s="33" t="str"/>
      <x:c r="G28" s="33" t="str"/>
      <x:c r="H28" s="35" t="str">
        <x:v>Course-specific</x:v>
      </x:c>
      <x:c r="I28" s="35" t="str">
        <x:v>No</x:v>
      </x:c>
      <x:c r="J28" s="35" t="str">
        <x:v>Foundation Year requirements vary by course. View the full course details or call 01782 491120 to discuss your qualifications.</x:v>
      </x:c>
      <x:c r="K28" s="35" t="str">
        <x:v>https://www.keele.ac.uk/clearing/entry-requirements/</x:v>
      </x:c>
      <x:c r="L28" s="35" t="str">
        <x:v>https://www.keele.ac.uk/study/undergraduate-2026/undergraduatecourses/bioveterinaryscience/#foundationyear</x:v>
      </x:c>
      <x:c r="M28" s="33" t="str">
        <x:v>Yes</x:v>
      </x:c>
      <x:c r="N28" s="38" t="n">
        <x:v>46195</x:v>
      </x:c>
      <x:c r="O28" s="35" t="str">
        <x:v>Clearing content team</x:v>
      </x:c>
      <x:c r="P28" s="35" t="str">
        <x:v>Initial import from Clearing vacancies and ER page for 2026.docx</x:v>
      </x:c>
      <x:c r="Q28" s="36" t="str">
        <x:f>IF(A28="","Missing ID",IF(COUNTIF($A$5:$A$1000,A28)&gt;1,"Duplicate ID",IF(C28="","Missing title",IF(D28="","Missing type",IF(E28="","Missing availability",IF(H28="","Missing offer",IF(L28="","Missing course URL",IF(ISERROR(SEARCH("https://www.keele.ac.uk/",L28)),"Non-Keele URL",IF(AND(D28="Foundation year",ISERROR(SEARCH("#foundationyear",L28))),"FY URL missing #foundationyear",IF(M28="","Missing display status",IF(N28="","Missing review date",IF(O28="","Missing owner",IF(P28="","Missing change note","OK")))))))))))))</x:f>
        <x:v>OK</x:v>
      </x:c>
    </x:row>
    <x:row r="29">
      <x:c r="A29" s="33" t="str">
        <x:v>2026-bioveterinaryscience-UG</x:v>
      </x:c>
      <x:c r="B29" s="37" t="n">
        <x:v>2026</x:v>
      </x:c>
      <x:c r="C29" s="35" t="str">
        <x:v>Bioveterinary Science with Integrated Master's</x:v>
      </x:c>
      <x:c r="D29" s="33" t="str">
        <x:v>Undergraduate</x:v>
      </x:c>
      <x:c r="E29" s="33" t="str">
        <x:v>Vacancies</x:v>
      </x:c>
      <x:c r="F29" s="33" t="str"/>
      <x:c r="G29" s="33" t="str">
        <x:v>MSci (Hons)</x:v>
      </x:c>
      <x:c r="H29" s="35" t="str">
        <x:v>64 UCAS tariff points</x:v>
      </x:c>
      <x:c r="I29" s="35" t="str">
        <x:v>Yes</x:v>
      </x:c>
      <x:c r="J29" s="35" t="str">
        <x:v>This course has additional subject-specific requirements. View the full course details or contact Admissions before applying.</x:v>
      </x:c>
      <x:c r="K29" s="35" t="str">
        <x:v>https://www.keele.ac.uk/clearing/entry-requirements/</x:v>
      </x:c>
      <x:c r="L29" s="35" t="str">
        <x:v>https://www.keele.ac.uk/study/undergraduate-2026/undergraduatecourses/bioveterinaryscience/</x:v>
      </x:c>
      <x:c r="M29" s="33" t="str">
        <x:v>Yes</x:v>
      </x:c>
      <x:c r="N29" s="38" t="n">
        <x:v>46195</x:v>
      </x:c>
      <x:c r="O29" s="35" t="str">
        <x:v>Clearing content team</x:v>
      </x:c>
      <x:c r="P29" s="35" t="str">
        <x:v>Initial import from Clearing vacancies and ER page for 2026.docx</x:v>
      </x:c>
      <x:c r="Q29" s="36" t="str">
        <x:f>IF(A29="","Missing ID",IF(COUNTIF($A$5:$A$1000,A29)&gt;1,"Duplicate ID",IF(C29="","Missing title",IF(D29="","Missing type",IF(E29="","Missing availability",IF(H29="","Missing offer",IF(L29="","Missing course URL",IF(ISERROR(SEARCH("https://www.keele.ac.uk/",L29)),"Non-Keele URL",IF(AND(D29="Foundation year",ISERROR(SEARCH("#foundationyear",L29))),"FY URL missing #foundationyear",IF(M29="","Missing display status",IF(N29="","Missing review date",IF(O29="","Missing owner",IF(P29="","Missing change note","OK")))))))))))))</x:f>
        <x:v>OK</x:v>
      </x:c>
    </x:row>
    <x:row r="30">
      <x:c r="A30" s="33" t="str">
        <x:v>2026-bioveterinarysciencewithintegratedmasters-FY</x:v>
      </x:c>
      <x:c r="B30" s="37" t="n">
        <x:v>2026</x:v>
      </x:c>
      <x:c r="C30" s="35" t="str">
        <x:v>Bioveterinary Science with Integrated Master's with Foundation Year</x:v>
      </x:c>
      <x:c r="D30" s="33" t="str">
        <x:v>Foundation year</x:v>
      </x:c>
      <x:c r="E30" s="33" t="str">
        <x:v>Vacancies</x:v>
      </x:c>
      <x:c r="F30" s="33" t="str"/>
      <x:c r="G30" s="33" t="str"/>
      <x:c r="H30" s="35" t="str">
        <x:v>Course-specific</x:v>
      </x:c>
      <x:c r="I30" s="35" t="str">
        <x:v>No</x:v>
      </x:c>
      <x:c r="J30" s="35" t="str">
        <x:v>Foundation Year requirements vary by course. View the full course details or call 01782 491120 to discuss your qualifications.</x:v>
      </x:c>
      <x:c r="K30" s="35" t="str">
        <x:v>https://www.keele.ac.uk/clearing/entry-requirements/</x:v>
      </x:c>
      <x:c r="L30" s="35" t="str">
        <x:v>https://www.keele.ac.uk/study/undergraduate-2026/undergraduatecourses/bioveterinarysciencewithintegratedmasters/#foundationyear</x:v>
      </x:c>
      <x:c r="M30" s="33" t="str">
        <x:v>Yes</x:v>
      </x:c>
      <x:c r="N30" s="38" t="n">
        <x:v>46195</x:v>
      </x:c>
      <x:c r="O30" s="35" t="str">
        <x:v>Clearing content team</x:v>
      </x:c>
      <x:c r="P30" s="35" t="str">
        <x:v>Initial import from Clearing vacancies and ER page for 2026.docx</x:v>
      </x:c>
      <x:c r="Q30" s="36" t="str">
        <x:f>IF(A30="","Missing ID",IF(COUNTIF($A$5:$A$1000,A30)&gt;1,"Duplicate ID",IF(C30="","Missing title",IF(D30="","Missing type",IF(E30="","Missing availability",IF(H30="","Missing offer",IF(L30="","Missing course URL",IF(ISERROR(SEARCH("https://www.keele.ac.uk/",L30)),"Non-Keele URL",IF(AND(D30="Foundation year",ISERROR(SEARCH("#foundationyear",L30))),"FY URL missing #foundationyear",IF(M30="","Missing display status",IF(N30="","Missing review date",IF(O30="","Missing owner",IF(P30="","Missing change note","OK")))))))))))))</x:f>
        <x:v>OK</x:v>
      </x:c>
    </x:row>
    <x:row r="31">
      <x:c r="A31" s="33" t="str">
        <x:v>2026-N12T-UG</x:v>
      </x:c>
      <x:c r="B31" s="37" t="n">
        <x:v>2026</x:v>
      </x:c>
      <x:c r="C31" s="35" t="str">
        <x:v>Business and Management | Top-up</x:v>
      </x:c>
      <x:c r="D31" s="33" t="str">
        <x:v>Undergraduate</x:v>
      </x:c>
      <x:c r="E31" s="33" t="str">
        <x:v>Vacancies</x:v>
      </x:c>
      <x:c r="F31" s="33" t="str">
        <x:v>N12T</x:v>
      </x:c>
      <x:c r="G31" s="33" t="str">
        <x:v>BA (Hons)</x:v>
      </x:c>
      <x:c r="H31" s="35" t="str">
        <x:v>Pass HND</x:v>
      </x:c>
      <x:c r="I31" s="35" t="str">
        <x:v>Yes</x:v>
      </x:c>
      <x:c r="J31" s="35" t="str">
        <x:v>This course has additional subject-specific requirements. View the full course details or contact Admissions before applying.</x:v>
      </x:c>
      <x:c r="K31" s="35" t="str">
        <x:v>https://www.keele.ac.uk/clearing/entry-requirements/</x:v>
      </x:c>
      <x:c r="L31" s="35" t="str">
        <x:v>https://www.keele.ac.uk/study/undergraduate-2026/undergraduatecourses/businessandmanagementtop-up/</x:v>
      </x:c>
      <x:c r="M31" s="33" t="str">
        <x:v>Yes</x:v>
      </x:c>
      <x:c r="N31" s="38" t="n">
        <x:v>46195</x:v>
      </x:c>
      <x:c r="O31" s="35" t="str">
        <x:v>Clearing content team</x:v>
      </x:c>
      <x:c r="P31" s="35" t="str">
        <x:v>Initial import from Clearing vacancies and ER page for 2026.docx</x:v>
      </x:c>
      <x:c r="Q31" s="36" t="str">
        <x:f>IF(A31="","Missing ID",IF(COUNTIF($A$5:$A$1000,A31)&gt;1,"Duplicate ID",IF(C31="","Missing title",IF(D31="","Missing type",IF(E31="","Missing availability",IF(H31="","Missing offer",IF(L31="","Missing course URL",IF(ISERROR(SEARCH("https://www.keele.ac.uk/",L31)),"Non-Keele URL",IF(AND(D31="Foundation year",ISERROR(SEARCH("#foundationyear",L31))),"FY URL missing #foundationyear",IF(M31="","Missing display status",IF(N31="","Missing review date",IF(O31="","Missing owner",IF(P31="","Missing change note","OK")))))))))))))</x:f>
        <x:v>OK</x:v>
      </x:c>
    </x:row>
    <x:row r="32">
      <x:c r="A32" s="33" t="str">
        <x:v>2026-N202-UG</x:v>
      </x:c>
      <x:c r="B32" s="37" t="n">
        <x:v>2026</x:v>
      </x:c>
      <x:c r="C32" s="35" t="str">
        <x:v>Business Management</x:v>
      </x:c>
      <x:c r="D32" s="33" t="str">
        <x:v>Undergraduate</x:v>
      </x:c>
      <x:c r="E32" s="33" t="str">
        <x:v>Vacancies</x:v>
      </x:c>
      <x:c r="F32" s="33" t="str">
        <x:v>N202</x:v>
      </x:c>
      <x:c r="G32" s="33" t="str"/>
      <x:c r="H32" s="35" t="str">
        <x:v>64 UCAS tariff points</x:v>
      </x:c>
      <x:c r="I32" s="35" t="str">
        <x:v>No</x:v>
      </x:c>
      <x:c r="J32" s="35" t="str">
        <x:v>Most undergraduate courses require GCSE English Language at grade 4/C or equivalent. Some courses also require GCSE Mathematics at grade 4/C or equivalent.</x:v>
      </x:c>
      <x:c r="K32" s="35" t="str">
        <x:v>https://www.keele.ac.uk/clearing/entry-requirements/</x:v>
      </x:c>
      <x:c r="L32" s="35" t="str">
        <x:v>https://www.keele.ac.uk/study/undergraduate-2026/undergraduatecourses/businessmanagement/</x:v>
      </x:c>
      <x:c r="M32" s="33" t="str">
        <x:v>Yes</x:v>
      </x:c>
      <x:c r="N32" s="38" t="n">
        <x:v>46195</x:v>
      </x:c>
      <x:c r="O32" s="35" t="str">
        <x:v>Clearing content team</x:v>
      </x:c>
      <x:c r="P32" s="35" t="str">
        <x:v>Initial import from Clearing vacancies and ER page for 2026.docx</x:v>
      </x:c>
      <x:c r="Q32" s="36" t="str">
        <x:f>IF(A32="","Missing ID",IF(COUNTIF($A$5:$A$1000,A32)&gt;1,"Duplicate ID",IF(C32="","Missing title",IF(D32="","Missing type",IF(E32="","Missing availability",IF(H32="","Missing offer",IF(L32="","Missing course URL",IF(ISERROR(SEARCH("https://www.keele.ac.uk/",L32)),"Non-Keele URL",IF(AND(D32="Foundation year",ISERROR(SEARCH("#foundationyear",L32))),"FY URL missing #foundationyear",IF(M32="","Missing display status",IF(N32="","Missing review date",IF(O32="","Missing owner",IF(P32="","Missing change note","OK")))))))))))))</x:f>
        <x:v>OK</x:v>
      </x:c>
    </x:row>
    <x:row r="33">
      <x:c r="A33" s="33" t="str">
        <x:v>2026-NN42-UG</x:v>
      </x:c>
      <x:c r="B33" s="37" t="n">
        <x:v>2026</x:v>
      </x:c>
      <x:c r="C33" s="35" t="str">
        <x:v>Business Management and Accounting</x:v>
      </x:c>
      <x:c r="D33" s="33" t="str">
        <x:v>Undergraduate</x:v>
      </x:c>
      <x:c r="E33" s="33" t="str">
        <x:v>Vacancies</x:v>
      </x:c>
      <x:c r="F33" s="33" t="str">
        <x:v>NN42</x:v>
      </x:c>
      <x:c r="G33" s="33" t="str">
        <x:v>BA (Hons)</x:v>
      </x:c>
      <x:c r="H33" s="35" t="str">
        <x:v>64 UCAS tariff points</x:v>
      </x:c>
      <x:c r="I33" s="35" t="str">
        <x:v>No</x:v>
      </x:c>
      <x:c r="J33" s="35" t="str">
        <x:v>Most undergraduate courses require GCSE English Language at grade 4/C or equivalent. Some courses also require GCSE Mathematics at grade 4/C or equivalent.</x:v>
      </x:c>
      <x:c r="K33" s="35" t="str">
        <x:v>https://www.keele.ac.uk/clearing/entry-requirements/</x:v>
      </x:c>
      <x:c r="L33" s="35" t="str">
        <x:v>https://www.keele.ac.uk/study/undergraduate-2026/undergraduatecourses/businessmanagementandaccounting/</x:v>
      </x:c>
      <x:c r="M33" s="33" t="str">
        <x:v>Yes</x:v>
      </x:c>
      <x:c r="N33" s="38" t="n">
        <x:v>46195</x:v>
      </x:c>
      <x:c r="O33" s="35" t="str">
        <x:v>Clearing content team</x:v>
      </x:c>
      <x:c r="P33" s="35" t="str">
        <x:v>Initial import from Clearing vacancies and ER page for 2026.docx</x:v>
      </x:c>
      <x:c r="Q33" s="36" t="str">
        <x:f>IF(A33="","Missing ID",IF(COUNTIF($A$5:$A$1000,A33)&gt;1,"Duplicate ID",IF(C33="","Missing title",IF(D33="","Missing type",IF(E33="","Missing availability",IF(H33="","Missing offer",IF(L33="","Missing course URL",IF(ISERROR(SEARCH("https://www.keele.ac.uk/",L33)),"Non-Keele URL",IF(AND(D33="Foundation year",ISERROR(SEARCH("#foundationyear",L33))),"FY URL missing #foundationyear",IF(M33="","Missing display status",IF(N33="","Missing review date",IF(O33="","Missing owner",IF(P33="","Missing change note","OK")))))))))))))</x:f>
        <x:v>OK</x:v>
      </x:c>
    </x:row>
    <x:row r="34">
      <x:c r="A34" s="33" t="str">
        <x:v>2026-businessmanagementandaccounting-FY</x:v>
      </x:c>
      <x:c r="B34" s="37" t="n">
        <x:v>2026</x:v>
      </x:c>
      <x:c r="C34" s="35" t="str">
        <x:v>Business Management and Accounting with Foundation Year</x:v>
      </x:c>
      <x:c r="D34" s="33" t="str">
        <x:v>Foundation year</x:v>
      </x:c>
      <x:c r="E34" s="33" t="str">
        <x:v>Vacancies</x:v>
      </x:c>
      <x:c r="F34" s="33" t="str"/>
      <x:c r="G34" s="33" t="str"/>
      <x:c r="H34" s="35" t="str">
        <x:v>Course-specific</x:v>
      </x:c>
      <x:c r="I34" s="35" t="str">
        <x:v>No</x:v>
      </x:c>
      <x:c r="J34" s="35" t="str">
        <x:v>Foundation Year requirements vary by course. View the full course details or call 01782 491120 to discuss your qualifications.</x:v>
      </x:c>
      <x:c r="K34" s="35" t="str">
        <x:v>https://www.keele.ac.uk/clearing/entry-requirements/</x:v>
      </x:c>
      <x:c r="L34" s="35" t="str">
        <x:v>https://www.keele.ac.uk/study/undergraduate-2026/undergraduatecourses/businessmanagementandaccounting/#foundationyear</x:v>
      </x:c>
      <x:c r="M34" s="33" t="str">
        <x:v>Yes</x:v>
      </x:c>
      <x:c r="N34" s="38" t="n">
        <x:v>46195</x:v>
      </x:c>
      <x:c r="O34" s="35" t="str">
        <x:v>Clearing content team</x:v>
      </x:c>
      <x:c r="P34" s="35" t="str">
        <x:v>Initial import from Clearing vacancies and ER page for 2026.docx</x:v>
      </x:c>
      <x:c r="Q34" s="36" t="str">
        <x:f>IF(A34="","Missing ID",IF(COUNTIF($A$5:$A$1000,A34)&gt;1,"Duplicate ID",IF(C34="","Missing title",IF(D34="","Missing type",IF(E34="","Missing availability",IF(H34="","Missing offer",IF(L34="","Missing course URL",IF(ISERROR(SEARCH("https://www.keele.ac.uk/",L34)),"Non-Keele URL",IF(AND(D34="Foundation year",ISERROR(SEARCH("#foundationyear",L34))),"FY URL missing #foundationyear",IF(M34="","Missing display status",IF(N34="","Missing review date",IF(O34="","Missing owner",IF(P34="","Missing change note","OK")))))))))))))</x:f>
        <x:v>OK</x:v>
      </x:c>
    </x:row>
    <x:row r="35">
      <x:c r="A35" s="33" t="str">
        <x:v>2026-LN19-UG</x:v>
      </x:c>
      <x:c r="B35" s="37" t="n">
        <x:v>2026</x:v>
      </x:c>
      <x:c r="C35" s="35" t="str">
        <x:v>Business Management and Economics</x:v>
      </x:c>
      <x:c r="D35" s="33" t="str">
        <x:v>Undergraduate</x:v>
      </x:c>
      <x:c r="E35" s="33" t="str">
        <x:v>Vacancies</x:v>
      </x:c>
      <x:c r="F35" s="33" t="str">
        <x:v>LN19</x:v>
      </x:c>
      <x:c r="G35" s="33" t="str">
        <x:v>BA (Hons)</x:v>
      </x:c>
      <x:c r="H35" s="35" t="str">
        <x:v>64 UCAS tariff points</x:v>
      </x:c>
      <x:c r="I35" s="35" t="str">
        <x:v>No</x:v>
      </x:c>
      <x:c r="J35" s="35" t="str">
        <x:v>Most undergraduate courses require GCSE English Language at grade 4/C or equivalent. Some courses also require GCSE Mathematics at grade 4/C or equivalent.</x:v>
      </x:c>
      <x:c r="K35" s="35" t="str">
        <x:v>https://www.keele.ac.uk/clearing/entry-requirements/</x:v>
      </x:c>
      <x:c r="L35" s="35" t="str">
        <x:v>https://www.keele.ac.uk/study/undergraduate-2026/undergraduatecourses/businessmanagementandeconomics/</x:v>
      </x:c>
      <x:c r="M35" s="33" t="str">
        <x:v>Yes</x:v>
      </x:c>
      <x:c r="N35" s="38" t="n">
        <x:v>46195</x:v>
      </x:c>
      <x:c r="O35" s="35" t="str">
        <x:v>Clearing content team</x:v>
      </x:c>
      <x:c r="P35" s="35" t="str">
        <x:v>Initial import from Clearing vacancies and ER page for 2026.docx</x:v>
      </x:c>
      <x:c r="Q35" s="36" t="str">
        <x:f>IF(A35="","Missing ID",IF(COUNTIF($A$5:$A$1000,A35)&gt;1,"Duplicate ID",IF(C35="","Missing title",IF(D35="","Missing type",IF(E35="","Missing availability",IF(H35="","Missing offer",IF(L35="","Missing course URL",IF(ISERROR(SEARCH("https://www.keele.ac.uk/",L35)),"Non-Keele URL",IF(AND(D35="Foundation year",ISERROR(SEARCH("#foundationyear",L35))),"FY URL missing #foundationyear",IF(M35="","Missing display status",IF(N35="","Missing review date",IF(O35="","Missing owner",IF(P35="","Missing change note","OK")))))))))))))</x:f>
        <x:v>OK</x:v>
      </x:c>
    </x:row>
    <x:row r="36">
      <x:c r="A36" s="33" t="str">
        <x:v>2026-businessmanagementandeconomics-FY</x:v>
      </x:c>
      <x:c r="B36" s="37" t="n">
        <x:v>2026</x:v>
      </x:c>
      <x:c r="C36" s="35" t="str">
        <x:v>Business Management and Economics with Foundation Year</x:v>
      </x:c>
      <x:c r="D36" s="33" t="str">
        <x:v>Foundation year</x:v>
      </x:c>
      <x:c r="E36" s="33" t="str">
        <x:v>Vacancies</x:v>
      </x:c>
      <x:c r="F36" s="33" t="str"/>
      <x:c r="G36" s="33" t="str"/>
      <x:c r="H36" s="35" t="str">
        <x:v>Course-specific</x:v>
      </x:c>
      <x:c r="I36" s="35" t="str">
        <x:v>No</x:v>
      </x:c>
      <x:c r="J36" s="35" t="str">
        <x:v>Foundation Year requirements vary by course. View the full course details or call 01782 491120 to discuss your qualifications.</x:v>
      </x:c>
      <x:c r="K36" s="35" t="str">
        <x:v>https://www.keele.ac.uk/clearing/entry-requirements/</x:v>
      </x:c>
      <x:c r="L36" s="35" t="str">
        <x:v>https://www.keele.ac.uk/study/undergraduate-2026/undergraduatecourses/businessmanagementandeconomics/#foundationyear</x:v>
      </x:c>
      <x:c r="M36" s="33" t="str">
        <x:v>Yes</x:v>
      </x:c>
      <x:c r="N36" s="38" t="n">
        <x:v>46195</x:v>
      </x:c>
      <x:c r="O36" s="35" t="str">
        <x:v>Clearing content team</x:v>
      </x:c>
      <x:c r="P36" s="35" t="str">
        <x:v>Initial import from Clearing vacancies and ER page for 2026.docx</x:v>
      </x:c>
      <x:c r="Q36" s="36" t="str">
        <x:f>IF(A36="","Missing ID",IF(COUNTIF($A$5:$A$1000,A36)&gt;1,"Duplicate ID",IF(C36="","Missing title",IF(D36="","Missing type",IF(E36="","Missing availability",IF(H36="","Missing offer",IF(L36="","Missing course URL",IF(ISERROR(SEARCH("https://www.keele.ac.uk/",L36)),"Non-Keele URL",IF(AND(D36="Foundation year",ISERROR(SEARCH("#foundationyear",L36))),"FY URL missing #foundationyear",IF(M36="","Missing display status",IF(N36="","Missing review date",IF(O36="","Missing owner",IF(P36="","Missing change note","OK")))))))))))))</x:f>
        <x:v>OK</x:v>
      </x:c>
    </x:row>
    <x:row r="37">
      <x:c r="A37" s="33" t="str">
        <x:v>2026-NN39-UG</x:v>
      </x:c>
      <x:c r="B37" s="37" t="n">
        <x:v>2026</x:v>
      </x:c>
      <x:c r="C37" s="35" t="str">
        <x:v>Business Management and Finance</x:v>
      </x:c>
      <x:c r="D37" s="33" t="str">
        <x:v>Undergraduate</x:v>
      </x:c>
      <x:c r="E37" s="33" t="str">
        <x:v>Vacancies</x:v>
      </x:c>
      <x:c r="F37" s="33" t="str">
        <x:v>NN39</x:v>
      </x:c>
      <x:c r="G37" s="33" t="str">
        <x:v>BA (Hons)</x:v>
      </x:c>
      <x:c r="H37" s="35" t="str">
        <x:v>64 UCAS tariff points</x:v>
      </x:c>
      <x:c r="I37" s="35" t="str">
        <x:v>No</x:v>
      </x:c>
      <x:c r="J37" s="35" t="str">
        <x:v>Most undergraduate courses require GCSE English Language at grade 4/C or equivalent. Some courses also require GCSE Mathematics at grade 4/C or equivalent.</x:v>
      </x:c>
      <x:c r="K37" s="35" t="str">
        <x:v>https://www.keele.ac.uk/clearing/entry-requirements/</x:v>
      </x:c>
      <x:c r="L37" s="35" t="str">
        <x:v>https://www.keele.ac.uk/study/undergraduate-2026/undergraduatecourses/businessmanagementandfinance/</x:v>
      </x:c>
      <x:c r="M37" s="33" t="str">
        <x:v>Yes</x:v>
      </x:c>
      <x:c r="N37" s="38" t="n">
        <x:v>46195</x:v>
      </x:c>
      <x:c r="O37" s="35" t="str">
        <x:v>Clearing content team</x:v>
      </x:c>
      <x:c r="P37" s="35" t="str">
        <x:v>Initial import from Clearing vacancies and ER page for 2026.docx</x:v>
      </x:c>
      <x:c r="Q37" s="36" t="str">
        <x:f>IF(A37="","Missing ID",IF(COUNTIF($A$5:$A$1000,A37)&gt;1,"Duplicate ID",IF(C37="","Missing title",IF(D37="","Missing type",IF(E37="","Missing availability",IF(H37="","Missing offer",IF(L37="","Missing course URL",IF(ISERROR(SEARCH("https://www.keele.ac.uk/",L37)),"Non-Keele URL",IF(AND(D37="Foundation year",ISERROR(SEARCH("#foundationyear",L37))),"FY URL missing #foundationyear",IF(M37="","Missing display status",IF(N37="","Missing review date",IF(O37="","Missing owner",IF(P37="","Missing change note","OK")))))))))))))</x:f>
        <x:v>OK</x:v>
      </x:c>
    </x:row>
    <x:row r="38">
      <x:c r="A38" s="33" t="str">
        <x:v>2026-businessmanagementandfinance-FY</x:v>
      </x:c>
      <x:c r="B38" s="37" t="n">
        <x:v>2026</x:v>
      </x:c>
      <x:c r="C38" s="35" t="str">
        <x:v>Business Management and Finance with Foundation Year</x:v>
      </x:c>
      <x:c r="D38" s="33" t="str">
        <x:v>Foundation year</x:v>
      </x:c>
      <x:c r="E38" s="33" t="str">
        <x:v>Vacancies</x:v>
      </x:c>
      <x:c r="F38" s="33" t="str"/>
      <x:c r="G38" s="33" t="str"/>
      <x:c r="H38" s="35" t="str">
        <x:v>Course-specific</x:v>
      </x:c>
      <x:c r="I38" s="35" t="str">
        <x:v>No</x:v>
      </x:c>
      <x:c r="J38" s="35" t="str">
        <x:v>Foundation Year requirements vary by course. View the full course details or call 01782 491120 to discuss your qualifications.</x:v>
      </x:c>
      <x:c r="K38" s="35" t="str">
        <x:v>https://www.keele.ac.uk/clearing/entry-requirements/</x:v>
      </x:c>
      <x:c r="L38" s="35" t="str">
        <x:v>https://www.keele.ac.uk/study/undergraduate-2026/undergraduatecourses/businessmanagementandfinance/#foundationyear</x:v>
      </x:c>
      <x:c r="M38" s="33" t="str">
        <x:v>Yes</x:v>
      </x:c>
      <x:c r="N38" s="38" t="n">
        <x:v>46195</x:v>
      </x:c>
      <x:c r="O38" s="35" t="str">
        <x:v>Clearing content team</x:v>
      </x:c>
      <x:c r="P38" s="35" t="str">
        <x:v>Initial import from Clearing vacancies and ER page for 2026.docx</x:v>
      </x:c>
      <x:c r="Q38" s="36" t="str">
        <x:f>IF(A38="","Missing ID",IF(COUNTIF($A$5:$A$1000,A38)&gt;1,"Duplicate ID",IF(C38="","Missing title",IF(D38="","Missing type",IF(E38="","Missing availability",IF(H38="","Missing offer",IF(L38="","Missing course URL",IF(ISERROR(SEARCH("https://www.keele.ac.uk/",L38)),"Non-Keele URL",IF(AND(D38="Foundation year",ISERROR(SEARCH("#foundationyear",L38))),"FY URL missing #foundationyear",IF(M38="","Missing display status",IF(N38="","Missing review date",IF(O38="","Missing owner",IF(P38="","Missing change note","OK")))))))))))))</x:f>
        <x:v>OK</x:v>
      </x:c>
    </x:row>
    <x:row r="39">
      <x:c r="A39" s="33" t="str">
        <x:v>2026-NN25-UG</x:v>
      </x:c>
      <x:c r="B39" s="37" t="n">
        <x:v>2026</x:v>
      </x:c>
      <x:c r="C39" s="35" t="str">
        <x:v>Business Management and Marketing</x:v>
      </x:c>
      <x:c r="D39" s="33" t="str">
        <x:v>Undergraduate</x:v>
      </x:c>
      <x:c r="E39" s="33" t="str">
        <x:v>Vacancies</x:v>
      </x:c>
      <x:c r="F39" s="33" t="str">
        <x:v>NN25</x:v>
      </x:c>
      <x:c r="G39" s="33" t="str">
        <x:v>BA (Hons)</x:v>
      </x:c>
      <x:c r="H39" s="35" t="str">
        <x:v>64 UCAS tariff points</x:v>
      </x:c>
      <x:c r="I39" s="35" t="str">
        <x:v>No</x:v>
      </x:c>
      <x:c r="J39" s="35" t="str">
        <x:v>Most undergraduate courses require GCSE English Language at grade 4/C or equivalent. Some courses also require GCSE Mathematics at grade 4/C or equivalent.</x:v>
      </x:c>
      <x:c r="K39" s="35" t="str">
        <x:v>https://www.keele.ac.uk/clearing/entry-requirements/</x:v>
      </x:c>
      <x:c r="L39" s="35" t="str">
        <x:v>https://www.keele.ac.uk/study/undergraduate-2026/undergraduatecourses/businessmanagementandmarketing/</x:v>
      </x:c>
      <x:c r="M39" s="33" t="str">
        <x:v>Yes</x:v>
      </x:c>
      <x:c r="N39" s="38" t="n">
        <x:v>46195</x:v>
      </x:c>
      <x:c r="O39" s="35" t="str">
        <x:v>Clearing content team</x:v>
      </x:c>
      <x:c r="P39" s="35" t="str">
        <x:v>Initial import from Clearing vacancies and ER page for 2026.docx</x:v>
      </x:c>
      <x:c r="Q39" s="36" t="str">
        <x:f>IF(A39="","Missing ID",IF(COUNTIF($A$5:$A$1000,A39)&gt;1,"Duplicate ID",IF(C39="","Missing title",IF(D39="","Missing type",IF(E39="","Missing availability",IF(H39="","Missing offer",IF(L39="","Missing course URL",IF(ISERROR(SEARCH("https://www.keele.ac.uk/",L39)),"Non-Keele URL",IF(AND(D39="Foundation year",ISERROR(SEARCH("#foundationyear",L39))),"FY URL missing #foundationyear",IF(M39="","Missing display status",IF(N39="","Missing review date",IF(O39="","Missing owner",IF(P39="","Missing change note","OK")))))))))))))</x:f>
        <x:v>OK</x:v>
      </x:c>
    </x:row>
    <x:row r="40">
      <x:c r="A40" s="33" t="str">
        <x:v>2026-businessmanagementandmarketing-FY</x:v>
      </x:c>
      <x:c r="B40" s="37" t="n">
        <x:v>2026</x:v>
      </x:c>
      <x:c r="C40" s="35" t="str">
        <x:v>Business Management and Marketing with Foundation Year</x:v>
      </x:c>
      <x:c r="D40" s="33" t="str">
        <x:v>Foundation year</x:v>
      </x:c>
      <x:c r="E40" s="33" t="str">
        <x:v>Vacancies</x:v>
      </x:c>
      <x:c r="F40" s="33" t="str"/>
      <x:c r="G40" s="33" t="str"/>
      <x:c r="H40" s="35" t="str">
        <x:v>Course-specific</x:v>
      </x:c>
      <x:c r="I40" s="35" t="str">
        <x:v>No</x:v>
      </x:c>
      <x:c r="J40" s="35" t="str">
        <x:v>Foundation Year requirements vary by course. View the full course details or call 01782 491120 to discuss your qualifications.</x:v>
      </x:c>
      <x:c r="K40" s="35" t="str">
        <x:v>https://www.keele.ac.uk/clearing/entry-requirements/</x:v>
      </x:c>
      <x:c r="L40" s="35" t="str">
        <x:v>https://www.keele.ac.uk/study/undergraduate-2026/undergraduatecourses/businessmanagementandmarketing/#foundationyear</x:v>
      </x:c>
      <x:c r="M40" s="33" t="str">
        <x:v>Yes</x:v>
      </x:c>
      <x:c r="N40" s="38" t="n">
        <x:v>46195</x:v>
      </x:c>
      <x:c r="O40" s="35" t="str">
        <x:v>Clearing content team</x:v>
      </x:c>
      <x:c r="P40" s="35" t="str">
        <x:v>Initial import from Clearing vacancies and ER page for 2026.docx</x:v>
      </x:c>
      <x:c r="Q40" s="36" t="str">
        <x:f>IF(A40="","Missing ID",IF(COUNTIF($A$5:$A$1000,A40)&gt;1,"Duplicate ID",IF(C40="","Missing title",IF(D40="","Missing type",IF(E40="","Missing availability",IF(H40="","Missing offer",IF(L40="","Missing course URL",IF(ISERROR(SEARCH("https://www.keele.ac.uk/",L40)),"Non-Keele URL",IF(AND(D40="Foundation year",ISERROR(SEARCH("#foundationyear",L40))),"FY URL missing #foundationyear",IF(M40="","Missing display status",IF(N40="","Missing review date",IF(O40="","Missing owner",IF(P40="","Missing change note","OK")))))))))))))</x:f>
        <x:v>OK</x:v>
      </x:c>
    </x:row>
    <x:row r="41">
      <x:c r="A41" s="33" t="str">
        <x:v>2026-NG12-UG</x:v>
      </x:c>
      <x:c r="B41" s="37" t="n">
        <x:v>2026</x:v>
      </x:c>
      <x:c r="C41" s="35" t="str">
        <x:v>Business Management with Analytics</x:v>
      </x:c>
      <x:c r="D41" s="33" t="str">
        <x:v>Undergraduate</x:v>
      </x:c>
      <x:c r="E41" s="33" t="str">
        <x:v>Vacancies</x:v>
      </x:c>
      <x:c r="F41" s="33" t="str">
        <x:v>NG12</x:v>
      </x:c>
      <x:c r="G41" s="33" t="str">
        <x:v>BA (Hons)</x:v>
      </x:c>
      <x:c r="H41" s="35" t="str">
        <x:v>64 UCAS tariff points</x:v>
      </x:c>
      <x:c r="I41" s="35" t="str">
        <x:v>No</x:v>
      </x:c>
      <x:c r="J41" s="35" t="str">
        <x:v>Most undergraduate courses require GCSE English Language at grade 4/C or equivalent. Some courses also require GCSE Mathematics at grade 4/C or equivalent.</x:v>
      </x:c>
      <x:c r="K41" s="35" t="str">
        <x:v>https://www.keele.ac.uk/clearing/entry-requirements/</x:v>
      </x:c>
      <x:c r="L41" s="35" t="str">
        <x:v>https://www.keele.ac.uk/study/undergraduate-2026/undergraduatecourses/businessmanagementwithanalytics/</x:v>
      </x:c>
      <x:c r="M41" s="33" t="str">
        <x:v>Yes</x:v>
      </x:c>
      <x:c r="N41" s="38" t="n">
        <x:v>46195</x:v>
      </x:c>
      <x:c r="O41" s="35" t="str">
        <x:v>Clearing content team</x:v>
      </x:c>
      <x:c r="P41" s="35" t="str">
        <x:v>Initial import from Clearing vacancies and ER page for 2026.docx</x:v>
      </x:c>
      <x:c r="Q41" s="36" t="str">
        <x:f>IF(A41="","Missing ID",IF(COUNTIF($A$5:$A$1000,A41)&gt;1,"Duplicate ID",IF(C41="","Missing title",IF(D41="","Missing type",IF(E41="","Missing availability",IF(H41="","Missing offer",IF(L41="","Missing course URL",IF(ISERROR(SEARCH("https://www.keele.ac.uk/",L41)),"Non-Keele URL",IF(AND(D41="Foundation year",ISERROR(SEARCH("#foundationyear",L41))),"FY URL missing #foundationyear",IF(M41="","Missing display status",IF(N41="","Missing review date",IF(O41="","Missing owner",IF(P41="","Missing change note","OK")))))))))))))</x:f>
        <x:v>OK</x:v>
      </x:c>
    </x:row>
    <x:row r="42">
      <x:c r="A42" s="33" t="str">
        <x:v>2026-businessmanagementwithanalytics-FY</x:v>
      </x:c>
      <x:c r="B42" s="37" t="n">
        <x:v>2026</x:v>
      </x:c>
      <x:c r="C42" s="35" t="str">
        <x:v>Business Management with Analytics with Foundation Year</x:v>
      </x:c>
      <x:c r="D42" s="33" t="str">
        <x:v>Foundation year</x:v>
      </x:c>
      <x:c r="E42" s="33" t="str">
        <x:v>Vacancies</x:v>
      </x:c>
      <x:c r="F42" s="33" t="str"/>
      <x:c r="G42" s="33" t="str"/>
      <x:c r="H42" s="35" t="str">
        <x:v>Course-specific</x:v>
      </x:c>
      <x:c r="I42" s="35" t="str">
        <x:v>No</x:v>
      </x:c>
      <x:c r="J42" s="35" t="str">
        <x:v>Foundation Year requirements vary by course. View the full course details or call 01782 491120 to discuss your qualifications.</x:v>
      </x:c>
      <x:c r="K42" s="35" t="str">
        <x:v>https://www.keele.ac.uk/clearing/entry-requirements/</x:v>
      </x:c>
      <x:c r="L42" s="35" t="str">
        <x:v>https://www.keele.ac.uk/study/undergraduate-2026/undergraduatecourses/businessmanagementwithanalytics/#foundationyear</x:v>
      </x:c>
      <x:c r="M42" s="33" t="str">
        <x:v>Yes</x:v>
      </x:c>
      <x:c r="N42" s="38" t="n">
        <x:v>46195</x:v>
      </x:c>
      <x:c r="O42" s="35" t="str">
        <x:v>Clearing content team</x:v>
      </x:c>
      <x:c r="P42" s="35" t="str">
        <x:v>Initial import from Clearing vacancies and ER page for 2026.docx</x:v>
      </x:c>
      <x:c r="Q42" s="36" t="str">
        <x:f>IF(A42="","Missing ID",IF(COUNTIF($A$5:$A$1000,A42)&gt;1,"Duplicate ID",IF(C42="","Missing title",IF(D42="","Missing type",IF(E42="","Missing availability",IF(H42="","Missing offer",IF(L42="","Missing course URL",IF(ISERROR(SEARCH("https://www.keele.ac.uk/",L42)),"Non-Keele URL",IF(AND(D42="Foundation year",ISERROR(SEARCH("#foundationyear",L42))),"FY URL missing #foundationyear",IF(M42="","Missing display status",IF(N42="","Missing review date",IF(O42="","Missing owner",IF(P42="","Missing change note","OK")))))))))))))</x:f>
        <x:v>OK</x:v>
      </x:c>
    </x:row>
    <x:row r="43">
      <x:c r="A43" s="33" t="str">
        <x:v>2026-N291-UG</x:v>
      </x:c>
      <x:c r="B43" s="37" t="n">
        <x:v>2026</x:v>
      </x:c>
      <x:c r="C43" s="35" t="str">
        <x:v>Business Management with Entrepreneurship</x:v>
      </x:c>
      <x:c r="D43" s="33" t="str">
        <x:v>Undergraduate</x:v>
      </x:c>
      <x:c r="E43" s="33" t="str">
        <x:v>Vacancies</x:v>
      </x:c>
      <x:c r="F43" s="33" t="str">
        <x:v>N291</x:v>
      </x:c>
      <x:c r="G43" s="33" t="str"/>
      <x:c r="H43" s="35" t="str">
        <x:v>64 UCAS tariff points</x:v>
      </x:c>
      <x:c r="I43" s="35" t="str">
        <x:v>No</x:v>
      </x:c>
      <x:c r="J43" s="35" t="str">
        <x:v>Most undergraduate courses require GCSE English Language at grade 4/C or equivalent. Some courses also require GCSE Mathematics at grade 4/C or equivalent.</x:v>
      </x:c>
      <x:c r="K43" s="35" t="str">
        <x:v>https://www.keele.ac.uk/clearing/entry-requirements/</x:v>
      </x:c>
      <x:c r="L43" s="35" t="str">
        <x:v>https://www.keele.ac.uk/study/undergraduate-2026/undergraduatecourses/businessmanagementwithentrepreneurship/</x:v>
      </x:c>
      <x:c r="M43" s="33" t="str">
        <x:v>Yes</x:v>
      </x:c>
      <x:c r="N43" s="38" t="n">
        <x:v>46195</x:v>
      </x:c>
      <x:c r="O43" s="35" t="str">
        <x:v>Clearing content team</x:v>
      </x:c>
      <x:c r="P43" s="35" t="str">
        <x:v>Initial import from Clearing vacancies and ER page for 2026.docx</x:v>
      </x:c>
      <x:c r="Q43" s="36" t="str">
        <x:f>IF(A43="","Missing ID",IF(COUNTIF($A$5:$A$1000,A43)&gt;1,"Duplicate ID",IF(C43="","Missing title",IF(D43="","Missing type",IF(E43="","Missing availability",IF(H43="","Missing offer",IF(L43="","Missing course URL",IF(ISERROR(SEARCH("https://www.keele.ac.uk/",L43)),"Non-Keele URL",IF(AND(D43="Foundation year",ISERROR(SEARCH("#foundationyear",L43))),"FY URL missing #foundationyear",IF(M43="","Missing display status",IF(N43="","Missing review date",IF(O43="","Missing owner",IF(P43="","Missing change note","OK")))))))))))))</x:f>
        <x:v>OK</x:v>
      </x:c>
    </x:row>
    <x:row r="44">
      <x:c r="A44" s="33" t="str">
        <x:v>2026-businessmanagementwithentrepreneurship-FY</x:v>
      </x:c>
      <x:c r="B44" s="37" t="n">
        <x:v>2026</x:v>
      </x:c>
      <x:c r="C44" s="35" t="str">
        <x:v>Business Management with Entrepreneurship with Foundation Year</x:v>
      </x:c>
      <x:c r="D44" s="33" t="str">
        <x:v>Foundation year</x:v>
      </x:c>
      <x:c r="E44" s="33" t="str">
        <x:v>Vacancies</x:v>
      </x:c>
      <x:c r="F44" s="33" t="str"/>
      <x:c r="G44" s="33" t="str"/>
      <x:c r="H44" s="35" t="str">
        <x:v>Course-specific</x:v>
      </x:c>
      <x:c r="I44" s="35" t="str">
        <x:v>No</x:v>
      </x:c>
      <x:c r="J44" s="35" t="str">
        <x:v>Foundation Year requirements vary by course. View the full course details or call 01782 491120 to discuss your qualifications.</x:v>
      </x:c>
      <x:c r="K44" s="35" t="str">
        <x:v>https://www.keele.ac.uk/clearing/entry-requirements/</x:v>
      </x:c>
      <x:c r="L44" s="35" t="str">
        <x:v>https://www.keele.ac.uk/study/undergraduate-2026/undergraduatecourses/businessmanagementwithentrepreneurship/#foundationyear</x:v>
      </x:c>
      <x:c r="M44" s="33" t="str">
        <x:v>Yes</x:v>
      </x:c>
      <x:c r="N44" s="38" t="n">
        <x:v>46195</x:v>
      </x:c>
      <x:c r="O44" s="35" t="str">
        <x:v>Clearing content team</x:v>
      </x:c>
      <x:c r="P44" s="35" t="str">
        <x:v>Initial import from Clearing vacancies and ER page for 2026.docx</x:v>
      </x:c>
      <x:c r="Q44" s="36" t="str">
        <x:f>IF(A44="","Missing ID",IF(COUNTIF($A$5:$A$1000,A44)&gt;1,"Duplicate ID",IF(C44="","Missing title",IF(D44="","Missing type",IF(E44="","Missing availability",IF(H44="","Missing offer",IF(L44="","Missing course URL",IF(ISERROR(SEARCH("https://www.keele.ac.uk/",L44)),"Non-Keele URL",IF(AND(D44="Foundation year",ISERROR(SEARCH("#foundationyear",L44))),"FY URL missing #foundationyear",IF(M44="","Missing display status",IF(N44="","Missing review date",IF(O44="","Missing owner",IF(P44="","Missing change note","OK")))))))))))))</x:f>
        <x:v>OK</x:v>
      </x:c>
    </x:row>
    <x:row r="45">
      <x:c r="A45" s="33" t="str">
        <x:v>2026-N2N8-UG</x:v>
      </x:c>
      <x:c r="B45" s="37" t="n">
        <x:v>2026</x:v>
      </x:c>
      <x:c r="C45" s="35" t="str">
        <x:v>Business Management with Events</x:v>
      </x:c>
      <x:c r="D45" s="33" t="str">
        <x:v>Undergraduate</x:v>
      </x:c>
      <x:c r="E45" s="33" t="str">
        <x:v>Vacancies</x:v>
      </x:c>
      <x:c r="F45" s="33" t="str">
        <x:v>N2N8</x:v>
      </x:c>
      <x:c r="G45" s="33" t="str">
        <x:v>BA (Hons)</x:v>
      </x:c>
      <x:c r="H45" s="35" t="str">
        <x:v>64 UCAS tariff points</x:v>
      </x:c>
      <x:c r="I45" s="35" t="str">
        <x:v>No</x:v>
      </x:c>
      <x:c r="J45" s="35" t="str">
        <x:v>Most undergraduate courses require GCSE English Language at grade 4/C or equivalent. Some courses also require GCSE Mathematics at grade 4/C or equivalent.</x:v>
      </x:c>
      <x:c r="K45" s="35" t="str">
        <x:v>https://www.keele.ac.uk/clearing/entry-requirements/</x:v>
      </x:c>
      <x:c r="L45" s="35" t="str">
        <x:v>https://www.keele.ac.uk/study/undergraduate-2026/undergraduatecourses/businessmanagementwithevents/</x:v>
      </x:c>
      <x:c r="M45" s="33" t="str">
        <x:v>Yes</x:v>
      </x:c>
      <x:c r="N45" s="38" t="n">
        <x:v>46195</x:v>
      </x:c>
      <x:c r="O45" s="35" t="str">
        <x:v>Clearing content team</x:v>
      </x:c>
      <x:c r="P45" s="35" t="str">
        <x:v>Initial import from Clearing vacancies and ER page for 2026.docx</x:v>
      </x:c>
      <x:c r="Q45" s="36" t="str">
        <x:f>IF(A45="","Missing ID",IF(COUNTIF($A$5:$A$1000,A45)&gt;1,"Duplicate ID",IF(C45="","Missing title",IF(D45="","Missing type",IF(E45="","Missing availability",IF(H45="","Missing offer",IF(L45="","Missing course URL",IF(ISERROR(SEARCH("https://www.keele.ac.uk/",L45)),"Non-Keele URL",IF(AND(D45="Foundation year",ISERROR(SEARCH("#foundationyear",L45))),"FY URL missing #foundationyear",IF(M45="","Missing display status",IF(N45="","Missing review date",IF(O45="","Missing owner",IF(P45="","Missing change note","OK")))))))))))))</x:f>
        <x:v>OK</x:v>
      </x:c>
    </x:row>
    <x:row r="46">
      <x:c r="A46" s="33" t="str">
        <x:v>2026-businessmanagementwithevents-FY</x:v>
      </x:c>
      <x:c r="B46" s="37" t="n">
        <x:v>2026</x:v>
      </x:c>
      <x:c r="C46" s="35" t="str">
        <x:v>Business Management with Events with Foundation Year</x:v>
      </x:c>
      <x:c r="D46" s="33" t="str">
        <x:v>Foundation year</x:v>
      </x:c>
      <x:c r="E46" s="33" t="str">
        <x:v>Vacancies</x:v>
      </x:c>
      <x:c r="F46" s="33" t="str"/>
      <x:c r="G46" s="33" t="str"/>
      <x:c r="H46" s="35" t="str">
        <x:v>Course-specific</x:v>
      </x:c>
      <x:c r="I46" s="35" t="str">
        <x:v>No</x:v>
      </x:c>
      <x:c r="J46" s="35" t="str">
        <x:v>Foundation Year requirements vary by course. View the full course details or call 01782 491120 to discuss your qualifications.</x:v>
      </x:c>
      <x:c r="K46" s="35" t="str">
        <x:v>https://www.keele.ac.uk/clearing/entry-requirements/</x:v>
      </x:c>
      <x:c r="L46" s="35" t="str">
        <x:v>https://www.keele.ac.uk/study/undergraduate-2026/undergraduatecourses/businessmanagementwithevents/#foundationyear</x:v>
      </x:c>
      <x:c r="M46" s="33" t="str">
        <x:v>Yes</x:v>
      </x:c>
      <x:c r="N46" s="38" t="n">
        <x:v>46195</x:v>
      </x:c>
      <x:c r="O46" s="35" t="str">
        <x:v>Clearing content team</x:v>
      </x:c>
      <x:c r="P46" s="35" t="str">
        <x:v>Initial import from Clearing vacancies and ER page for 2026.docx</x:v>
      </x:c>
      <x:c r="Q46" s="36" t="str">
        <x:f>IF(A46="","Missing ID",IF(COUNTIF($A$5:$A$1000,A46)&gt;1,"Duplicate ID",IF(C46="","Missing title",IF(D46="","Missing type",IF(E46="","Missing availability",IF(H46="","Missing offer",IF(L46="","Missing course URL",IF(ISERROR(SEARCH("https://www.keele.ac.uk/",L46)),"Non-Keele URL",IF(AND(D46="Foundation year",ISERROR(SEARCH("#foundationyear",L46))),"FY URL missing #foundationyear",IF(M46="","Missing display status",IF(N46="","Missing review date",IF(O46="","Missing owner",IF(P46="","Missing change note","OK")))))))))))))</x:f>
        <x:v>OK</x:v>
      </x:c>
    </x:row>
    <x:row r="47">
      <x:c r="A47" s="33" t="str">
        <x:v>2026-businessmanagement-FY</x:v>
      </x:c>
      <x:c r="B47" s="37" t="n">
        <x:v>2026</x:v>
      </x:c>
      <x:c r="C47" s="35" t="str">
        <x:v>Business Management with Foundation Year</x:v>
      </x:c>
      <x:c r="D47" s="33" t="str">
        <x:v>Foundation year</x:v>
      </x:c>
      <x:c r="E47" s="33" t="str">
        <x:v>Vacancies</x:v>
      </x:c>
      <x:c r="F47" s="33" t="str"/>
      <x:c r="G47" s="33" t="str"/>
      <x:c r="H47" s="35" t="str">
        <x:v>Course-specific</x:v>
      </x:c>
      <x:c r="I47" s="35" t="str">
        <x:v>No</x:v>
      </x:c>
      <x:c r="J47" s="35" t="str">
        <x:v>Foundation Year requirements vary by course. View the full course details or call 01782 491120 to discuss your qualifications.</x:v>
      </x:c>
      <x:c r="K47" s="35" t="str">
        <x:v>https://www.keele.ac.uk/clearing/entry-requirements/</x:v>
      </x:c>
      <x:c r="L47" s="35" t="str">
        <x:v>https://www.keele.ac.uk/study/undergraduate-2026/undergraduatecourses/businessmanagement/#foundationyear</x:v>
      </x:c>
      <x:c r="M47" s="33" t="str">
        <x:v>Yes</x:v>
      </x:c>
      <x:c r="N47" s="38" t="n">
        <x:v>46195</x:v>
      </x:c>
      <x:c r="O47" s="35" t="str">
        <x:v>Clearing content team</x:v>
      </x:c>
      <x:c r="P47" s="35" t="str">
        <x:v>Initial import from Clearing vacancies and ER page for 2026.docx</x:v>
      </x:c>
      <x:c r="Q47" s="36" t="str">
        <x:f>IF(A47="","Missing ID",IF(COUNTIF($A$5:$A$1000,A47)&gt;1,"Duplicate ID",IF(C47="","Missing title",IF(D47="","Missing type",IF(E47="","Missing availability",IF(H47="","Missing offer",IF(L47="","Missing course URL",IF(ISERROR(SEARCH("https://www.keele.ac.uk/",L47)),"Non-Keele URL",IF(AND(D47="Foundation year",ISERROR(SEARCH("#foundationyear",L47))),"FY URL missing #foundationyear",IF(M47="","Missing display status",IF(N47="","Missing review date",IF(O47="","Missing owner",IF(P47="","Missing change note","OK")))))))))))))</x:f>
        <x:v>OK</x:v>
      </x:c>
    </x:row>
    <x:row r="48">
      <x:c r="A48" s="33" t="str">
        <x:v>2026-N2N6-UG</x:v>
      </x:c>
      <x:c r="B48" s="37" t="n">
        <x:v>2026</x:v>
      </x:c>
      <x:c r="C48" s="35" t="str">
        <x:v>Business Management with Hospitality</x:v>
      </x:c>
      <x:c r="D48" s="33" t="str">
        <x:v>Undergraduate</x:v>
      </x:c>
      <x:c r="E48" s="33" t="str">
        <x:v>Vacancies</x:v>
      </x:c>
      <x:c r="F48" s="33" t="str">
        <x:v>N2N6</x:v>
      </x:c>
      <x:c r="G48" s="33" t="str">
        <x:v>BA (Hons)</x:v>
      </x:c>
      <x:c r="H48" s="35" t="str">
        <x:v>64 UCAS tariff points</x:v>
      </x:c>
      <x:c r="I48" s="35" t="str">
        <x:v>No</x:v>
      </x:c>
      <x:c r="J48" s="35" t="str">
        <x:v>Most undergraduate courses require GCSE English Language at grade 4/C or equivalent. Some courses also require GCSE Mathematics at grade 4/C or equivalent.</x:v>
      </x:c>
      <x:c r="K48" s="35" t="str">
        <x:v>https://www.keele.ac.uk/clearing/entry-requirements/</x:v>
      </x:c>
      <x:c r="L48" s="35" t="str">
        <x:v>https://www.keele.ac.uk/study/undergraduate-2026/undergraduatecourses/businessmanagementwithhospitality/</x:v>
      </x:c>
      <x:c r="M48" s="33" t="str">
        <x:v>Yes</x:v>
      </x:c>
      <x:c r="N48" s="38" t="n">
        <x:v>46195</x:v>
      </x:c>
      <x:c r="O48" s="35" t="str">
        <x:v>Clearing content team</x:v>
      </x:c>
      <x:c r="P48" s="35" t="str">
        <x:v>Initial import from Clearing vacancies and ER page for 2026.docx</x:v>
      </x:c>
      <x:c r="Q48" s="36" t="str">
        <x:f>IF(A48="","Missing ID",IF(COUNTIF($A$5:$A$1000,A48)&gt;1,"Duplicate ID",IF(C48="","Missing title",IF(D48="","Missing type",IF(E48="","Missing availability",IF(H48="","Missing offer",IF(L48="","Missing course URL",IF(ISERROR(SEARCH("https://www.keele.ac.uk/",L48)),"Non-Keele URL",IF(AND(D48="Foundation year",ISERROR(SEARCH("#foundationyear",L48))),"FY URL missing #foundationyear",IF(M48="","Missing display status",IF(N48="","Missing review date",IF(O48="","Missing owner",IF(P48="","Missing change note","OK")))))))))))))</x:f>
        <x:v>OK</x:v>
      </x:c>
    </x:row>
    <x:row r="49">
      <x:c r="A49" s="33" t="str">
        <x:v>2026-businessmanagementwithhospitality-FY</x:v>
      </x:c>
      <x:c r="B49" s="37" t="n">
        <x:v>2026</x:v>
      </x:c>
      <x:c r="C49" s="35" t="str">
        <x:v>Business Management with Hospitality with Foundation Year</x:v>
      </x:c>
      <x:c r="D49" s="33" t="str">
        <x:v>Foundation year</x:v>
      </x:c>
      <x:c r="E49" s="33" t="str">
        <x:v>Vacancies</x:v>
      </x:c>
      <x:c r="F49" s="33" t="str"/>
      <x:c r="G49" s="33" t="str"/>
      <x:c r="H49" s="35" t="str">
        <x:v>Course-specific</x:v>
      </x:c>
      <x:c r="I49" s="35" t="str">
        <x:v>No</x:v>
      </x:c>
      <x:c r="J49" s="35" t="str">
        <x:v>Foundation Year requirements vary by course. View the full course details or call 01782 491120 to discuss your qualifications.</x:v>
      </x:c>
      <x:c r="K49" s="35" t="str">
        <x:v>https://www.keele.ac.uk/clearing/entry-requirements/</x:v>
      </x:c>
      <x:c r="L49" s="35" t="str">
        <x:v>https://www.keele.ac.uk/study/undergraduate-2026/undergraduatecourses/businessmanagementwithhospitality/#foundationyear</x:v>
      </x:c>
      <x:c r="M49" s="33" t="str">
        <x:v>Yes</x:v>
      </x:c>
      <x:c r="N49" s="38" t="n">
        <x:v>46195</x:v>
      </x:c>
      <x:c r="O49" s="35" t="str">
        <x:v>Clearing content team</x:v>
      </x:c>
      <x:c r="P49" s="35" t="str">
        <x:v>Initial import from Clearing vacancies and ER page for 2026.docx</x:v>
      </x:c>
      <x:c r="Q49" s="36" t="str">
        <x:f>IF(A49="","Missing ID",IF(COUNTIF($A$5:$A$1000,A49)&gt;1,"Duplicate ID",IF(C49="","Missing title",IF(D49="","Missing type",IF(E49="","Missing availability",IF(H49="","Missing offer",IF(L49="","Missing course URL",IF(ISERROR(SEARCH("https://www.keele.ac.uk/",L49)),"Non-Keele URL",IF(AND(D49="Foundation year",ISERROR(SEARCH("#foundationyear",L49))),"FY URL missing #foundationyear",IF(M49="","Missing display status",IF(N49="","Missing review date",IF(O49="","Missing owner",IF(P49="","Missing change note","OK")))))))))))))</x:f>
        <x:v>OK</x:v>
      </x:c>
    </x:row>
    <x:row r="50">
      <x:c r="A50" s="33" t="str">
        <x:v>2026-NN69-UG</x:v>
      </x:c>
      <x:c r="B50" s="37" t="n">
        <x:v>2026</x:v>
      </x:c>
      <x:c r="C50" s="35" t="str">
        <x:v>Business Management with Human Resources</x:v>
      </x:c>
      <x:c r="D50" s="33" t="str">
        <x:v>Undergraduate</x:v>
      </x:c>
      <x:c r="E50" s="33" t="str">
        <x:v>Vacancies</x:v>
      </x:c>
      <x:c r="F50" s="33" t="str">
        <x:v>NN69</x:v>
      </x:c>
      <x:c r="G50" s="33" t="str">
        <x:v>BA (Hons)</x:v>
      </x:c>
      <x:c r="H50" s="35" t="str">
        <x:v>64 UCAS tariff points</x:v>
      </x:c>
      <x:c r="I50" s="35" t="str">
        <x:v>No</x:v>
      </x:c>
      <x:c r="J50" s="35" t="str">
        <x:v>Most undergraduate courses require GCSE English Language at grade 4/C or equivalent. Some courses also require GCSE Mathematics at grade 4/C or equivalent.</x:v>
      </x:c>
      <x:c r="K50" s="35" t="str">
        <x:v>https://www.keele.ac.uk/clearing/entry-requirements/</x:v>
      </x:c>
      <x:c r="L50" s="35" t="str">
        <x:v>https://www.keele.ac.uk/study/undergraduate-2026/undergraduatecourses/businessmanagementwithhumanresources/</x:v>
      </x:c>
      <x:c r="M50" s="33" t="str">
        <x:v>Yes</x:v>
      </x:c>
      <x:c r="N50" s="38" t="n">
        <x:v>46195</x:v>
      </x:c>
      <x:c r="O50" s="35" t="str">
        <x:v>Clearing content team</x:v>
      </x:c>
      <x:c r="P50" s="35" t="str">
        <x:v>Initial import from Clearing vacancies and ER page for 2026.docx</x:v>
      </x:c>
      <x:c r="Q50" s="36" t="str">
        <x:f>IF(A50="","Missing ID",IF(COUNTIF($A$5:$A$1000,A50)&gt;1,"Duplicate ID",IF(C50="","Missing title",IF(D50="","Missing type",IF(E50="","Missing availability",IF(H50="","Missing offer",IF(L50="","Missing course URL",IF(ISERROR(SEARCH("https://www.keele.ac.uk/",L50)),"Non-Keele URL",IF(AND(D50="Foundation year",ISERROR(SEARCH("#foundationyear",L50))),"FY URL missing #foundationyear",IF(M50="","Missing display status",IF(N50="","Missing review date",IF(O50="","Missing owner",IF(P50="","Missing change note","OK")))))))))))))</x:f>
        <x:v>OK</x:v>
      </x:c>
    </x:row>
    <x:row r="51">
      <x:c r="A51" s="33" t="str">
        <x:v>2026-businessmanagementwithhumanresources-FY</x:v>
      </x:c>
      <x:c r="B51" s="37" t="n">
        <x:v>2026</x:v>
      </x:c>
      <x:c r="C51" s="35" t="str">
        <x:v>Business Management with Human Resources with Foundation Year</x:v>
      </x:c>
      <x:c r="D51" s="33" t="str">
        <x:v>Foundation year</x:v>
      </x:c>
      <x:c r="E51" s="33" t="str">
        <x:v>Vacancies</x:v>
      </x:c>
      <x:c r="F51" s="33" t="str"/>
      <x:c r="G51" s="33" t="str"/>
      <x:c r="H51" s="35" t="str">
        <x:v>Course-specific</x:v>
      </x:c>
      <x:c r="I51" s="35" t="str">
        <x:v>No</x:v>
      </x:c>
      <x:c r="J51" s="35" t="str">
        <x:v>Foundation Year requirements vary by course. View the full course details or call 01782 491120 to discuss your qualifications.</x:v>
      </x:c>
      <x:c r="K51" s="35" t="str">
        <x:v>https://www.keele.ac.uk/clearing/entry-requirements/</x:v>
      </x:c>
      <x:c r="L51" s="35" t="str">
        <x:v>https://www.keele.ac.uk/study/undergraduate-2026/undergraduatecourses/businessmanagementwithhumanresources/#foundationyear</x:v>
      </x:c>
      <x:c r="M51" s="33" t="str">
        <x:v>Yes</x:v>
      </x:c>
      <x:c r="N51" s="38" t="n">
        <x:v>46195</x:v>
      </x:c>
      <x:c r="O51" s="35" t="str">
        <x:v>Clearing content team</x:v>
      </x:c>
      <x:c r="P51" s="35" t="str">
        <x:v>Initial import from Clearing vacancies and ER page for 2026.docx</x:v>
      </x:c>
      <x:c r="Q51" s="36" t="str">
        <x:f>IF(A51="","Missing ID",IF(COUNTIF($A$5:$A$1000,A51)&gt;1,"Duplicate ID",IF(C51="","Missing title",IF(D51="","Missing type",IF(E51="","Missing availability",IF(H51="","Missing offer",IF(L51="","Missing course URL",IF(ISERROR(SEARCH("https://www.keele.ac.uk/",L51)),"Non-Keele URL",IF(AND(D51="Foundation year",ISERROR(SEARCH("#foundationyear",L51))),"FY URL missing #foundationyear",IF(M51="","Missing display status",IF(N51="","Missing review date",IF(O51="","Missing owner",IF(P51="","Missing change note","OK")))))))))))))</x:f>
        <x:v>OK</x:v>
      </x:c>
    </x:row>
    <x:row r="52">
      <x:c r="A52" s="33" t="str">
        <x:v>2026-N830-UG</x:v>
      </x:c>
      <x:c r="B52" s="37" t="n">
        <x:v>2026</x:v>
      </x:c>
      <x:c r="C52" s="35" t="str">
        <x:v>Business Management with International Tourism</x:v>
      </x:c>
      <x:c r="D52" s="33" t="str">
        <x:v>Undergraduate</x:v>
      </x:c>
      <x:c r="E52" s="33" t="str">
        <x:v>Vacancies</x:v>
      </x:c>
      <x:c r="F52" s="33" t="str">
        <x:v>N830</x:v>
      </x:c>
      <x:c r="G52" s="33" t="str">
        <x:v>BA (Hons)</x:v>
      </x:c>
      <x:c r="H52" s="35" t="str">
        <x:v>64 UCAS tariff points</x:v>
      </x:c>
      <x:c r="I52" s="35" t="str">
        <x:v>No</x:v>
      </x:c>
      <x:c r="J52" s="35" t="str">
        <x:v>Most undergraduate courses require GCSE English Language at grade 4/C or equivalent. Some courses also require GCSE Mathematics at grade 4/C or equivalent.</x:v>
      </x:c>
      <x:c r="K52" s="35" t="str">
        <x:v>https://www.keele.ac.uk/clearing/entry-requirements/</x:v>
      </x:c>
      <x:c r="L52" s="35" t="str">
        <x:v>https://www.keele.ac.uk/study/undergraduate-2026/undergraduatecourses/businessmanagementwithinternationaltourism/</x:v>
      </x:c>
      <x:c r="M52" s="33" t="str">
        <x:v>Yes</x:v>
      </x:c>
      <x:c r="N52" s="38" t="n">
        <x:v>46195</x:v>
      </x:c>
      <x:c r="O52" s="35" t="str">
        <x:v>Clearing content team</x:v>
      </x:c>
      <x:c r="P52" s="35" t="str">
        <x:v>Initial import from Clearing vacancies and ER page for 2026.docx</x:v>
      </x:c>
      <x:c r="Q52" s="36" t="str">
        <x:f>IF(A52="","Missing ID",IF(COUNTIF($A$5:$A$1000,A52)&gt;1,"Duplicate ID",IF(C52="","Missing title",IF(D52="","Missing type",IF(E52="","Missing availability",IF(H52="","Missing offer",IF(L52="","Missing course URL",IF(ISERROR(SEARCH("https://www.keele.ac.uk/",L52)),"Non-Keele URL",IF(AND(D52="Foundation year",ISERROR(SEARCH("#foundationyear",L52))),"FY URL missing #foundationyear",IF(M52="","Missing display status",IF(N52="","Missing review date",IF(O52="","Missing owner",IF(P52="","Missing change note","OK")))))))))))))</x:f>
        <x:v>OK</x:v>
      </x:c>
    </x:row>
    <x:row r="53">
      <x:c r="A53" s="33" t="str">
        <x:v>2026-businessmanagementwithinternationaltourism-FY</x:v>
      </x:c>
      <x:c r="B53" s="37" t="n">
        <x:v>2026</x:v>
      </x:c>
      <x:c r="C53" s="35" t="str">
        <x:v>Business Management with International Tourism with Foundation Year</x:v>
      </x:c>
      <x:c r="D53" s="33" t="str">
        <x:v>Foundation year</x:v>
      </x:c>
      <x:c r="E53" s="33" t="str">
        <x:v>Vacancies</x:v>
      </x:c>
      <x:c r="F53" s="33" t="str"/>
      <x:c r="G53" s="33" t="str"/>
      <x:c r="H53" s="35" t="str">
        <x:v>Course-specific</x:v>
      </x:c>
      <x:c r="I53" s="35" t="str">
        <x:v>No</x:v>
      </x:c>
      <x:c r="J53" s="35" t="str">
        <x:v>Foundation Year requirements vary by course. View the full course details or call 01782 491120 to discuss your qualifications.</x:v>
      </x:c>
      <x:c r="K53" s="35" t="str">
        <x:v>https://www.keele.ac.uk/clearing/entry-requirements/</x:v>
      </x:c>
      <x:c r="L53" s="35" t="str">
        <x:v>https://www.keele.ac.uk/study/undergraduate-2026/undergraduatecourses/businessmanagementwithinternationaltourism/#foundationyear</x:v>
      </x:c>
      <x:c r="M53" s="33" t="str">
        <x:v>Yes</x:v>
      </x:c>
      <x:c r="N53" s="38" t="n">
        <x:v>46195</x:v>
      </x:c>
      <x:c r="O53" s="35" t="str">
        <x:v>Clearing content team</x:v>
      </x:c>
      <x:c r="P53" s="35" t="str">
        <x:v>Initial import from Clearing vacancies and ER page for 2026.docx</x:v>
      </x:c>
      <x:c r="Q53" s="36" t="str">
        <x:f>IF(A53="","Missing ID",IF(COUNTIF($A$5:$A$1000,A53)&gt;1,"Duplicate ID",IF(C53="","Missing title",IF(D53="","Missing type",IF(E53="","Missing availability",IF(H53="","Missing offer",IF(L53="","Missing course URL",IF(ISERROR(SEARCH("https://www.keele.ac.uk/",L53)),"Non-Keele URL",IF(AND(D53="Foundation year",ISERROR(SEARCH("#foundationyear",L53))),"FY URL missing #foundationyear",IF(M53="","Missing display status",IF(N53="","Missing review date",IF(O53="","Missing owner",IF(P53="","Missing change note","OK")))))))))))))</x:f>
        <x:v>OK</x:v>
      </x:c>
    </x:row>
    <x:row r="54">
      <x:c r="A54" s="33" t="str">
        <x:v>2026-N114-UG</x:v>
      </x:c>
      <x:c r="B54" s="37" t="n">
        <x:v>2026</x:v>
      </x:c>
      <x:c r="C54" s="35" t="str">
        <x:v>Business Management with Supply Chain</x:v>
      </x:c>
      <x:c r="D54" s="33" t="str">
        <x:v>Undergraduate</x:v>
      </x:c>
      <x:c r="E54" s="33" t="str">
        <x:v>Vacancies</x:v>
      </x:c>
      <x:c r="F54" s="33" t="str">
        <x:v>N114</x:v>
      </x:c>
      <x:c r="G54" s="33" t="str">
        <x:v>BA (Hons)</x:v>
      </x:c>
      <x:c r="H54" s="35" t="str">
        <x:v>64 UCAS tariff points</x:v>
      </x:c>
      <x:c r="I54" s="35" t="str">
        <x:v>No</x:v>
      </x:c>
      <x:c r="J54" s="35" t="str">
        <x:v>Most undergraduate courses require GCSE English Language at grade 4/C or equivalent. Some courses also require GCSE Mathematics at grade 4/C or equivalent.</x:v>
      </x:c>
      <x:c r="K54" s="35" t="str">
        <x:v>https://www.keele.ac.uk/clearing/entry-requirements/</x:v>
      </x:c>
      <x:c r="L54" s="35" t="str">
        <x:v>https://www.keele.ac.uk/study/undergraduate-2026/undergraduatecourses/businessmanagementwithsupplychain/</x:v>
      </x:c>
      <x:c r="M54" s="33" t="str">
        <x:v>Yes</x:v>
      </x:c>
      <x:c r="N54" s="38" t="n">
        <x:v>46195</x:v>
      </x:c>
      <x:c r="O54" s="35" t="str">
        <x:v>Clearing content team</x:v>
      </x:c>
      <x:c r="P54" s="35" t="str">
        <x:v>Initial import from Clearing vacancies and ER page for 2026.docx</x:v>
      </x:c>
      <x:c r="Q54" s="36" t="str">
        <x:f>IF(A54="","Missing ID",IF(COUNTIF($A$5:$A$1000,A54)&gt;1,"Duplicate ID",IF(C54="","Missing title",IF(D54="","Missing type",IF(E54="","Missing availability",IF(H54="","Missing offer",IF(L54="","Missing course URL",IF(ISERROR(SEARCH("https://www.keele.ac.uk/",L54)),"Non-Keele URL",IF(AND(D54="Foundation year",ISERROR(SEARCH("#foundationyear",L54))),"FY URL missing #foundationyear",IF(M54="","Missing display status",IF(N54="","Missing review date",IF(O54="","Missing owner",IF(P54="","Missing change note","OK")))))))))))))</x:f>
        <x:v>OK</x:v>
      </x:c>
    </x:row>
    <x:row r="55">
      <x:c r="A55" s="33" t="str">
        <x:v>2026-businessmanagementwithsupplychain-FY</x:v>
      </x:c>
      <x:c r="B55" s="37" t="n">
        <x:v>2026</x:v>
      </x:c>
      <x:c r="C55" s="35" t="str">
        <x:v>Business Management with Supply Chain with Foundation Year</x:v>
      </x:c>
      <x:c r="D55" s="33" t="str">
        <x:v>Foundation year</x:v>
      </x:c>
      <x:c r="E55" s="33" t="str">
        <x:v>Vacancies</x:v>
      </x:c>
      <x:c r="F55" s="33" t="str"/>
      <x:c r="G55" s="33" t="str"/>
      <x:c r="H55" s="35" t="str">
        <x:v>Course-specific</x:v>
      </x:c>
      <x:c r="I55" s="35" t="str">
        <x:v>No</x:v>
      </x:c>
      <x:c r="J55" s="35" t="str">
        <x:v>Foundation Year requirements vary by course. View the full course details or call 01782 491120 to discuss your qualifications.</x:v>
      </x:c>
      <x:c r="K55" s="35" t="str">
        <x:v>https://www.keele.ac.uk/clearing/entry-requirements/</x:v>
      </x:c>
      <x:c r="L55" s="35" t="str">
        <x:v>https://www.keele.ac.uk/study/undergraduate-2026/undergraduatecourses/businessmanagementwithsupplychain/#foundationyear</x:v>
      </x:c>
      <x:c r="M55" s="33" t="str">
        <x:v>Yes</x:v>
      </x:c>
      <x:c r="N55" s="38" t="n">
        <x:v>46195</x:v>
      </x:c>
      <x:c r="O55" s="35" t="str">
        <x:v>Clearing content team</x:v>
      </x:c>
      <x:c r="P55" s="35" t="str">
        <x:v>Initial import from Clearing vacancies and ER page for 2026.docx</x:v>
      </x:c>
      <x:c r="Q55" s="36" t="str">
        <x:f>IF(A55="","Missing ID",IF(COUNTIF($A$5:$A$1000,A55)&gt;1,"Duplicate ID",IF(C55="","Missing title",IF(D55="","Missing type",IF(E55="","Missing availability",IF(H55="","Missing offer",IF(L55="","Missing course URL",IF(ISERROR(SEARCH("https://www.keele.ac.uk/",L55)),"Non-Keele URL",IF(AND(D55="Foundation year",ISERROR(SEARCH("#foundationyear",L55))),"FY URL missing #foundationyear",IF(M55="","Missing display status",IF(N55="","Missing review date",IF(O55="","Missing owner",IF(P55="","Missing change note","OK")))))))))))))</x:f>
        <x:v>OK</x:v>
      </x:c>
    </x:row>
    <x:row r="56">
      <x:c r="A56" s="33" t="str">
        <x:v>2026-N271-UG</x:v>
      </x:c>
      <x:c r="B56" s="37" t="n">
        <x:v>2026</x:v>
      </x:c>
      <x:c r="C56" s="35" t="str">
        <x:v>Business Management with Sustainability</x:v>
      </x:c>
      <x:c r="D56" s="33" t="str">
        <x:v>Undergraduate</x:v>
      </x:c>
      <x:c r="E56" s="33" t="str">
        <x:v>Vacancies</x:v>
      </x:c>
      <x:c r="F56" s="33" t="str">
        <x:v>N271</x:v>
      </x:c>
      <x:c r="G56" s="33" t="str">
        <x:v>BA (Hons)</x:v>
      </x:c>
      <x:c r="H56" s="35" t="str">
        <x:v>64 UCAS tariff points</x:v>
      </x:c>
      <x:c r="I56" s="35" t="str">
        <x:v>No</x:v>
      </x:c>
      <x:c r="J56" s="35" t="str">
        <x:v>Most undergraduate courses require GCSE English Language at grade 4/C or equivalent. Some courses also require GCSE Mathematics at grade 4/C or equivalent.</x:v>
      </x:c>
      <x:c r="K56" s="35" t="str">
        <x:v>https://www.keele.ac.uk/clearing/entry-requirements/</x:v>
      </x:c>
      <x:c r="L56" s="35" t="str">
        <x:v>https://www.keele.ac.uk/study/undergraduate-2026/undergraduatecourses/businessmanagementwithsustainability/</x:v>
      </x:c>
      <x:c r="M56" s="33" t="str">
        <x:v>Yes</x:v>
      </x:c>
      <x:c r="N56" s="38" t="n">
        <x:v>46195</x:v>
      </x:c>
      <x:c r="O56" s="35" t="str">
        <x:v>Clearing content team</x:v>
      </x:c>
      <x:c r="P56" s="35" t="str">
        <x:v>Initial import from Clearing vacancies and ER page for 2026.docx</x:v>
      </x:c>
      <x:c r="Q56" s="36" t="str">
        <x:f>IF(A56="","Missing ID",IF(COUNTIF($A$5:$A$1000,A56)&gt;1,"Duplicate ID",IF(C56="","Missing title",IF(D56="","Missing type",IF(E56="","Missing availability",IF(H56="","Missing offer",IF(L56="","Missing course URL",IF(ISERROR(SEARCH("https://www.keele.ac.uk/",L56)),"Non-Keele URL",IF(AND(D56="Foundation year",ISERROR(SEARCH("#foundationyear",L56))),"FY URL missing #foundationyear",IF(M56="","Missing display status",IF(N56="","Missing review date",IF(O56="","Missing owner",IF(P56="","Missing change note","OK")))))))))))))</x:f>
        <x:v>OK</x:v>
      </x:c>
    </x:row>
    <x:row r="57">
      <x:c r="A57" s="33" t="str">
        <x:v>2026-businessmanagementwithsustainability-FY</x:v>
      </x:c>
      <x:c r="B57" s="37" t="n">
        <x:v>2026</x:v>
      </x:c>
      <x:c r="C57" s="35" t="str">
        <x:v>Business Management with Sustainability with Foundation Year</x:v>
      </x:c>
      <x:c r="D57" s="33" t="str">
        <x:v>Foundation year</x:v>
      </x:c>
      <x:c r="E57" s="33" t="str">
        <x:v>Vacancies</x:v>
      </x:c>
      <x:c r="F57" s="33" t="str"/>
      <x:c r="G57" s="33" t="str"/>
      <x:c r="H57" s="35" t="str">
        <x:v>Course-specific</x:v>
      </x:c>
      <x:c r="I57" s="35" t="str">
        <x:v>No</x:v>
      </x:c>
      <x:c r="J57" s="35" t="str">
        <x:v>Foundation Year requirements vary by course. View the full course details or call 01782 491120 to discuss your qualifications.</x:v>
      </x:c>
      <x:c r="K57" s="35" t="str">
        <x:v>https://www.keele.ac.uk/clearing/entry-requirements/</x:v>
      </x:c>
      <x:c r="L57" s="35" t="str">
        <x:v>https://www.keele.ac.uk/study/undergraduate-2026/undergraduatecourses/businessmanagementwithsustainability/#foundationyear</x:v>
      </x:c>
      <x:c r="M57" s="33" t="str">
        <x:v>Yes</x:v>
      </x:c>
      <x:c r="N57" s="38" t="n">
        <x:v>46195</x:v>
      </x:c>
      <x:c r="O57" s="35" t="str">
        <x:v>Clearing content team</x:v>
      </x:c>
      <x:c r="P57" s="35" t="str">
        <x:v>Initial import from Clearing vacancies and ER page for 2026.docx</x:v>
      </x:c>
      <x:c r="Q57" s="36" t="str">
        <x:f>IF(A57="","Missing ID",IF(COUNTIF($A$5:$A$1000,A57)&gt;1,"Duplicate ID",IF(C57="","Missing title",IF(D57="","Missing type",IF(E57="","Missing availability",IF(H57="","Missing offer",IF(L57="","Missing course URL",IF(ISERROR(SEARCH("https://www.keele.ac.uk/",L57)),"Non-Keele URL",IF(AND(D57="Foundation year",ISERROR(SEARCH("#foundationyear",L57))),"FY URL missing #foundationyear",IF(M57="","Missing display status",IF(N57="","Missing review date",IF(O57="","Missing owner",IF(P57="","Missing change note","OK")))))))))))))</x:f>
        <x:v>OK</x:v>
      </x:c>
    </x:row>
    <x:row r="58">
      <x:c r="A58" s="33" t="str">
        <x:v>2026-N123-UG</x:v>
      </x:c>
      <x:c r="B58" s="37" t="n">
        <x:v>2026</x:v>
      </x:c>
      <x:c r="C58" s="35" t="str">
        <x:v>Business Technology</x:v>
      </x:c>
      <x:c r="D58" s="33" t="str">
        <x:v>Undergraduate</x:v>
      </x:c>
      <x:c r="E58" s="33" t="str">
        <x:v>Vacancies</x:v>
      </x:c>
      <x:c r="F58" s="33" t="str">
        <x:v>N123</x:v>
      </x:c>
      <x:c r="G58" s="33" t="str">
        <x:v>BSc (Hons)</x:v>
      </x:c>
      <x:c r="H58" s="35" t="str">
        <x:v>64 UCAS tariff points</x:v>
      </x:c>
      <x:c r="I58" s="35" t="str">
        <x:v>No</x:v>
      </x:c>
      <x:c r="J58" s="35" t="str">
        <x:v>Most undergraduate courses require GCSE English Language at grade 4/C or equivalent. Some courses also require GCSE Mathematics at grade 4/C or equivalent.</x:v>
      </x:c>
      <x:c r="K58" s="35" t="str">
        <x:v>https://www.keele.ac.uk/clearing/entry-requirements/</x:v>
      </x:c>
      <x:c r="L58" s="35" t="str">
        <x:v>https://www.keele.ac.uk/study/undergraduate-2026/undergraduatecourses/businesstechnology/</x:v>
      </x:c>
      <x:c r="M58" s="33" t="str">
        <x:v>Yes</x:v>
      </x:c>
      <x:c r="N58" s="38" t="n">
        <x:v>46195</x:v>
      </x:c>
      <x:c r="O58" s="35" t="str">
        <x:v>Clearing content team</x:v>
      </x:c>
      <x:c r="P58" s="35" t="str">
        <x:v>Initial import from Clearing vacancies and ER page for 2026.docx</x:v>
      </x:c>
      <x:c r="Q58" s="36" t="str">
        <x:f>IF(A58="","Missing ID",IF(COUNTIF($A$5:$A$1000,A58)&gt;1,"Duplicate ID",IF(C58="","Missing title",IF(D58="","Missing type",IF(E58="","Missing availability",IF(H58="","Missing offer",IF(L58="","Missing course URL",IF(ISERROR(SEARCH("https://www.keele.ac.uk/",L58)),"Non-Keele URL",IF(AND(D58="Foundation year",ISERROR(SEARCH("#foundationyear",L58))),"FY URL missing #foundationyear",IF(M58="","Missing display status",IF(N58="","Missing review date",IF(O58="","Missing owner",IF(P58="","Missing change note","OK")))))))))))))</x:f>
        <x:v>OK</x:v>
      </x:c>
    </x:row>
    <x:row r="59">
      <x:c r="A59" s="33" t="str">
        <x:v>2026-businesstechnology-FY</x:v>
      </x:c>
      <x:c r="B59" s="37" t="n">
        <x:v>2026</x:v>
      </x:c>
      <x:c r="C59" s="35" t="str">
        <x:v>Business Technology with Foundation Year</x:v>
      </x:c>
      <x:c r="D59" s="33" t="str">
        <x:v>Foundation year</x:v>
      </x:c>
      <x:c r="E59" s="33" t="str">
        <x:v>Vacancies</x:v>
      </x:c>
      <x:c r="F59" s="33" t="str"/>
      <x:c r="G59" s="33" t="str"/>
      <x:c r="H59" s="35" t="str">
        <x:v>Course-specific</x:v>
      </x:c>
      <x:c r="I59" s="35" t="str">
        <x:v>No</x:v>
      </x:c>
      <x:c r="J59" s="35" t="str">
        <x:v>Foundation Year requirements vary by course. View the full course details or call 01782 491120 to discuss your qualifications.</x:v>
      </x:c>
      <x:c r="K59" s="35" t="str">
        <x:v>https://www.keele.ac.uk/clearing/entry-requirements/</x:v>
      </x:c>
      <x:c r="L59" s="35" t="str">
        <x:v>https://www.keele.ac.uk/study/undergraduate-2026/undergraduatecourses/businesstechnology/#foundationyear</x:v>
      </x:c>
      <x:c r="M59" s="33" t="str">
        <x:v>Yes</x:v>
      </x:c>
      <x:c r="N59" s="38" t="n">
        <x:v>46195</x:v>
      </x:c>
      <x:c r="O59" s="35" t="str">
        <x:v>Clearing content team</x:v>
      </x:c>
      <x:c r="P59" s="35" t="str">
        <x:v>Initial import from Clearing vacancies and ER page for 2026.docx</x:v>
      </x:c>
      <x:c r="Q59" s="36" t="str">
        <x:f>IF(A59="","Missing ID",IF(COUNTIF($A$5:$A$1000,A59)&gt;1,"Duplicate ID",IF(C59="","Missing title",IF(D59="","Missing type",IF(E59="","Missing availability",IF(H59="","Missing offer",IF(L59="","Missing course URL",IF(ISERROR(SEARCH("https://www.keele.ac.uk/",L59)),"Non-Keele URL",IF(AND(D59="Foundation year",ISERROR(SEARCH("#foundationyear",L59))),"FY URL missing #foundationyear",IF(M59="","Missing display status",IF(N59="","Missing review date",IF(O59="","Missing owner",IF(P59="","Missing change note","OK")))))))))))))</x:f>
        <x:v>OK</x:v>
      </x:c>
    </x:row>
    <x:row r="60">
      <x:c r="A60" s="33" t="str">
        <x:v>2026-H800-UG</x:v>
      </x:c>
      <x:c r="B60" s="37" t="n">
        <x:v>2026</x:v>
      </x:c>
      <x:c r="C60" s="35" t="str">
        <x:v>Chemical Engineering</x:v>
      </x:c>
      <x:c r="D60" s="33" t="str">
        <x:v>Undergraduate</x:v>
      </x:c>
      <x:c r="E60" s="33" t="str">
        <x:v>Vacancies</x:v>
      </x:c>
      <x:c r="F60" s="33" t="str">
        <x:v>H800</x:v>
      </x:c>
      <x:c r="G60" s="33" t="str">
        <x:v>BEng</x:v>
      </x:c>
      <x:c r="H60" s="35" t="str">
        <x:v>64 UCAS tariff points</x:v>
      </x:c>
      <x:c r="I60" s="35" t="str">
        <x:v>Yes</x:v>
      </x:c>
      <x:c r="J60" s="35" t="str">
        <x:v>This course has additional subject-specific requirements. View the full course details or contact Admissions before applying.</x:v>
      </x:c>
      <x:c r="K60" s="35" t="str">
        <x:v>https://www.keele.ac.uk/clearing/entry-requirements/</x:v>
      </x:c>
      <x:c r="L60" s="35" t="str">
        <x:v>https://www.keele.ac.uk/study/undergraduate-2026/undergraduatecourses/chemicalengineering/</x:v>
      </x:c>
      <x:c r="M60" s="33" t="str">
        <x:v>Yes</x:v>
      </x:c>
      <x:c r="N60" s="38" t="n">
        <x:v>46195</x:v>
      </x:c>
      <x:c r="O60" s="35" t="str">
        <x:v>Clearing content team</x:v>
      </x:c>
      <x:c r="P60" s="35" t="str">
        <x:v>Initial import from Clearing vacancies and ER page for 2026.docx</x:v>
      </x:c>
      <x:c r="Q60" s="36" t="str">
        <x:f>IF(A60="","Missing ID",IF(COUNTIF($A$5:$A$1000,A60)&gt;1,"Duplicate ID",IF(C60="","Missing title",IF(D60="","Missing type",IF(E60="","Missing availability",IF(H60="","Missing offer",IF(L60="","Missing course URL",IF(ISERROR(SEARCH("https://www.keele.ac.uk/",L60)),"Non-Keele URL",IF(AND(D60="Foundation year",ISERROR(SEARCH("#foundationyear",L60))),"FY URL missing #foundationyear",IF(M60="","Missing display status",IF(N60="","Missing review date",IF(O60="","Missing owner",IF(P60="","Missing change note","OK")))))))))))))</x:f>
        <x:v>OK</x:v>
      </x:c>
    </x:row>
    <x:row r="61">
      <x:c r="A61" s="33" t="str">
        <x:v>2026-chemicalengineering-FY</x:v>
      </x:c>
      <x:c r="B61" s="37" t="n">
        <x:v>2026</x:v>
      </x:c>
      <x:c r="C61" s="35" t="str">
        <x:v>Chemical Engineering with Foundation Year</x:v>
      </x:c>
      <x:c r="D61" s="33" t="str">
        <x:v>Foundation year</x:v>
      </x:c>
      <x:c r="E61" s="33" t="str">
        <x:v>Vacancies</x:v>
      </x:c>
      <x:c r="F61" s="33" t="str"/>
      <x:c r="G61" s="33" t="str"/>
      <x:c r="H61" s="35" t="str">
        <x:v>Course-specific</x:v>
      </x:c>
      <x:c r="I61" s="35" t="str">
        <x:v>No</x:v>
      </x:c>
      <x:c r="J61" s="35" t="str">
        <x:v>Foundation Year requirements vary by course. View the full course details or call 01782 491120 to discuss your qualifications.</x:v>
      </x:c>
      <x:c r="K61" s="35" t="str">
        <x:v>https://www.keele.ac.uk/clearing/entry-requirements/</x:v>
      </x:c>
      <x:c r="L61" s="35" t="str">
        <x:v>https://www.keele.ac.uk/study/undergraduate-2026/undergraduatecourses/chemicalengineering/#foundationyear</x:v>
      </x:c>
      <x:c r="M61" s="33" t="str">
        <x:v>Yes</x:v>
      </x:c>
      <x:c r="N61" s="38" t="n">
        <x:v>46195</x:v>
      </x:c>
      <x:c r="O61" s="35" t="str">
        <x:v>Clearing content team</x:v>
      </x:c>
      <x:c r="P61" s="35" t="str">
        <x:v>Initial import from Clearing vacancies and ER page for 2026.docx</x:v>
      </x:c>
      <x:c r="Q61" s="36" t="str">
        <x:f>IF(A61="","Missing ID",IF(COUNTIF($A$5:$A$1000,A61)&gt;1,"Duplicate ID",IF(C61="","Missing title",IF(D61="","Missing type",IF(E61="","Missing availability",IF(H61="","Missing offer",IF(L61="","Missing course URL",IF(ISERROR(SEARCH("https://www.keele.ac.uk/",L61)),"Non-Keele URL",IF(AND(D61="Foundation year",ISERROR(SEARCH("#foundationyear",L61))),"FY URL missing #foundationyear",IF(M61="","Missing display status",IF(N61="","Missing review date",IF(O61="","Missing owner",IF(P61="","Missing change note","OK")))))))))))))</x:f>
        <x:v>OK</x:v>
      </x:c>
    </x:row>
    <x:row r="62">
      <x:c r="A62" s="33" t="str">
        <x:v>2026-H801-UG</x:v>
      </x:c>
      <x:c r="B62" s="37" t="n">
        <x:v>2026</x:v>
      </x:c>
      <x:c r="C62" s="35" t="str">
        <x:v>Chemical Engineering with Integrated Master's</x:v>
      </x:c>
      <x:c r="D62" s="33" t="str">
        <x:v>Undergraduate</x:v>
      </x:c>
      <x:c r="E62" s="33" t="str">
        <x:v>Vacancies</x:v>
      </x:c>
      <x:c r="F62" s="33" t="str">
        <x:v>H801</x:v>
      </x:c>
      <x:c r="G62" s="33" t="str">
        <x:v>MEng</x:v>
      </x:c>
      <x:c r="H62" s="35" t="str">
        <x:v>64 UCAS tariff points</x:v>
      </x:c>
      <x:c r="I62" s="35" t="str">
        <x:v>Yes</x:v>
      </x:c>
      <x:c r="J62" s="35" t="str">
        <x:v>This course has additional subject-specific requirements. View the full course details or contact Admissions before applying.</x:v>
      </x:c>
      <x:c r="K62" s="35" t="str">
        <x:v>https://www.keele.ac.uk/clearing/entry-requirements/</x:v>
      </x:c>
      <x:c r="L62" s="35" t="str">
        <x:v>https://www.keele.ac.uk/study/undergraduate-2026/undergraduatecourses/chemicalengineeringwithintegratedmasters/</x:v>
      </x:c>
      <x:c r="M62" s="33" t="str">
        <x:v>Yes</x:v>
      </x:c>
      <x:c r="N62" s="38" t="n">
        <x:v>46195</x:v>
      </x:c>
      <x:c r="O62" s="35" t="str">
        <x:v>Clearing content team</x:v>
      </x:c>
      <x:c r="P62" s="35" t="str">
        <x:v>Initial import from Clearing vacancies and ER page for 2026.docx</x:v>
      </x:c>
      <x:c r="Q62" s="36" t="str">
        <x:f>IF(A62="","Missing ID",IF(COUNTIF($A$5:$A$1000,A62)&gt;1,"Duplicate ID",IF(C62="","Missing title",IF(D62="","Missing type",IF(E62="","Missing availability",IF(H62="","Missing offer",IF(L62="","Missing course URL",IF(ISERROR(SEARCH("https://www.keele.ac.uk/",L62)),"Non-Keele URL",IF(AND(D62="Foundation year",ISERROR(SEARCH("#foundationyear",L62))),"FY URL missing #foundationyear",IF(M62="","Missing display status",IF(N62="","Missing review date",IF(O62="","Missing owner",IF(P62="","Missing change note","OK")))))))))))))</x:f>
        <x:v>OK</x:v>
      </x:c>
    </x:row>
    <x:row r="63">
      <x:c r="A63" s="33" t="str">
        <x:v>2026-chemicalengineeringwithintegratedmasters-FY</x:v>
      </x:c>
      <x:c r="B63" s="37" t="n">
        <x:v>2026</x:v>
      </x:c>
      <x:c r="C63" s="35" t="str">
        <x:v>Chemical Engineering with Integrated Master's with Foundation Year</x:v>
      </x:c>
      <x:c r="D63" s="33" t="str">
        <x:v>Foundation year</x:v>
      </x:c>
      <x:c r="E63" s="33" t="str">
        <x:v>Vacancies</x:v>
      </x:c>
      <x:c r="F63" s="33" t="str"/>
      <x:c r="G63" s="33" t="str"/>
      <x:c r="H63" s="35" t="str">
        <x:v>Course-specific</x:v>
      </x:c>
      <x:c r="I63" s="35" t="str">
        <x:v>No</x:v>
      </x:c>
      <x:c r="J63" s="35" t="str">
        <x:v>Foundation Year requirements vary by course. View the full course details or call 01782 491120 to discuss your qualifications.</x:v>
      </x:c>
      <x:c r="K63" s="35" t="str">
        <x:v>https://www.keele.ac.uk/clearing/entry-requirements/</x:v>
      </x:c>
      <x:c r="L63" s="35" t="str">
        <x:v>https://www.keele.ac.uk/study/undergraduate-2026/undergraduatecourses/chemicalengineeringwithintegratedmasters/#foundationyear</x:v>
      </x:c>
      <x:c r="M63" s="33" t="str">
        <x:v>Yes</x:v>
      </x:c>
      <x:c r="N63" s="38" t="n">
        <x:v>46195</x:v>
      </x:c>
      <x:c r="O63" s="35" t="str">
        <x:v>Clearing content team</x:v>
      </x:c>
      <x:c r="P63" s="35" t="str">
        <x:v>Initial import from Clearing vacancies and ER page for 2026.docx</x:v>
      </x:c>
      <x:c r="Q63" s="36" t="str">
        <x:f>IF(A63="","Missing ID",IF(COUNTIF($A$5:$A$1000,A63)&gt;1,"Duplicate ID",IF(C63="","Missing title",IF(D63="","Missing type",IF(E63="","Missing availability",IF(H63="","Missing offer",IF(L63="","Missing course URL",IF(ISERROR(SEARCH("https://www.keele.ac.uk/",L63)),"Non-Keele URL",IF(AND(D63="Foundation year",ISERROR(SEARCH("#foundationyear",L63))),"FY URL missing #foundationyear",IF(M63="","Missing display status",IF(N63="","Missing review date",IF(O63="","Missing owner",IF(P63="","Missing change note","OK")))))))))))))</x:f>
        <x:v>OK</x:v>
      </x:c>
    </x:row>
    <x:row r="64">
      <x:c r="A64" s="33" t="str">
        <x:v>2026-F101-UG</x:v>
      </x:c>
      <x:c r="B64" s="37" t="n">
        <x:v>2026</x:v>
      </x:c>
      <x:c r="C64" s="35" t="str">
        <x:v>Chemistry</x:v>
      </x:c>
      <x:c r="D64" s="33" t="str">
        <x:v>Undergraduate</x:v>
      </x:c>
      <x:c r="E64" s="33" t="str">
        <x:v>Vacancies</x:v>
      </x:c>
      <x:c r="F64" s="33" t="str">
        <x:v>F101</x:v>
      </x:c>
      <x:c r="G64" s="33" t="str">
        <x:v>BSc (Hons)</x:v>
      </x:c>
      <x:c r="H64" s="35" t="str">
        <x:v>64 UCAS tariff points</x:v>
      </x:c>
      <x:c r="I64" s="35" t="str">
        <x:v>Yes</x:v>
      </x:c>
      <x:c r="J64" s="35" t="str">
        <x:v>This course has additional subject-specific requirements. View the full course details or contact Admissions before applying.</x:v>
      </x:c>
      <x:c r="K64" s="35" t="str">
        <x:v>https://www.keele.ac.uk/clearing/entry-requirements/</x:v>
      </x:c>
      <x:c r="L64" s="35" t="str">
        <x:v>https://www.keele.ac.uk/study/undergraduate-2026/undergraduatecourses/chemistry/</x:v>
      </x:c>
      <x:c r="M64" s="33" t="str">
        <x:v>Yes</x:v>
      </x:c>
      <x:c r="N64" s="38" t="n">
        <x:v>46195</x:v>
      </x:c>
      <x:c r="O64" s="35" t="str">
        <x:v>Clearing content team</x:v>
      </x:c>
      <x:c r="P64" s="35" t="str">
        <x:v>Initial import from Clearing vacancies and ER page for 2026.docx</x:v>
      </x:c>
      <x:c r="Q64" s="36" t="str">
        <x:f>IF(A64="","Missing ID",IF(COUNTIF($A$5:$A$1000,A64)&gt;1,"Duplicate ID",IF(C64="","Missing title",IF(D64="","Missing type",IF(E64="","Missing availability",IF(H64="","Missing offer",IF(L64="","Missing course URL",IF(ISERROR(SEARCH("https://www.keele.ac.uk/",L64)),"Non-Keele URL",IF(AND(D64="Foundation year",ISERROR(SEARCH("#foundationyear",L64))),"FY URL missing #foundationyear",IF(M64="","Missing display status",IF(N64="","Missing review date",IF(O64="","Missing owner",IF(P64="","Missing change note","OK")))))))))))))</x:f>
        <x:v>OK</x:v>
      </x:c>
    </x:row>
    <x:row r="65">
      <x:c r="A65" s="33" t="str">
        <x:v>2026-chemistry-FY</x:v>
      </x:c>
      <x:c r="B65" s="37" t="n">
        <x:v>2026</x:v>
      </x:c>
      <x:c r="C65" s="35" t="str">
        <x:v>Chemistry with Foundation Year</x:v>
      </x:c>
      <x:c r="D65" s="33" t="str">
        <x:v>Foundation year</x:v>
      </x:c>
      <x:c r="E65" s="33" t="str">
        <x:v>Vacancies</x:v>
      </x:c>
      <x:c r="F65" s="33" t="str"/>
      <x:c r="G65" s="33" t="str"/>
      <x:c r="H65" s="35" t="str">
        <x:v>Course-specific</x:v>
      </x:c>
      <x:c r="I65" s="35" t="str">
        <x:v>No</x:v>
      </x:c>
      <x:c r="J65" s="35" t="str">
        <x:v>Foundation Year requirements vary by course. View the full course details or call 01782 491120 to discuss your qualifications.</x:v>
      </x:c>
      <x:c r="K65" s="35" t="str">
        <x:v>https://www.keele.ac.uk/clearing/entry-requirements/</x:v>
      </x:c>
      <x:c r="L65" s="35" t="str">
        <x:v>https://www.keele.ac.uk/study/undergraduate-2026/undergraduatecourses/chemistry/#foundationyear</x:v>
      </x:c>
      <x:c r="M65" s="33" t="str">
        <x:v>Yes</x:v>
      </x:c>
      <x:c r="N65" s="38" t="n">
        <x:v>46195</x:v>
      </x:c>
      <x:c r="O65" s="35" t="str">
        <x:v>Clearing content team</x:v>
      </x:c>
      <x:c r="P65" s="35" t="str">
        <x:v>Initial import from Clearing vacancies and ER page for 2026.docx</x:v>
      </x:c>
      <x:c r="Q65" s="36" t="str">
        <x:f>IF(A65="","Missing ID",IF(COUNTIF($A$5:$A$1000,A65)&gt;1,"Duplicate ID",IF(C65="","Missing title",IF(D65="","Missing type",IF(E65="","Missing availability",IF(H65="","Missing offer",IF(L65="","Missing course URL",IF(ISERROR(SEARCH("https://www.keele.ac.uk/",L65)),"Non-Keele URL",IF(AND(D65="Foundation year",ISERROR(SEARCH("#foundationyear",L65))),"FY URL missing #foundationyear",IF(M65="","Missing display status",IF(N65="","Missing review date",IF(O65="","Missing owner",IF(P65="","Missing change note","OK")))))))))))))</x:f>
        <x:v>OK</x:v>
      </x:c>
    </x:row>
    <x:row r="66">
      <x:c r="A66" s="33" t="str">
        <x:v>2026-F102-UG</x:v>
      </x:c>
      <x:c r="B66" s="37" t="n">
        <x:v>2026</x:v>
      </x:c>
      <x:c r="C66" s="35" t="str">
        <x:v>Chemistry with Integrated Master's</x:v>
      </x:c>
      <x:c r="D66" s="33" t="str">
        <x:v>Undergraduate</x:v>
      </x:c>
      <x:c r="E66" s="33" t="str">
        <x:v>Vacancies</x:v>
      </x:c>
      <x:c r="F66" s="33" t="str">
        <x:v>F102</x:v>
      </x:c>
      <x:c r="G66" s="33" t="str">
        <x:v>MChem</x:v>
      </x:c>
      <x:c r="H66" s="35" t="str">
        <x:v>64 UCAS tariff points</x:v>
      </x:c>
      <x:c r="I66" s="35" t="str">
        <x:v>Yes</x:v>
      </x:c>
      <x:c r="J66" s="35" t="str">
        <x:v>This course has additional subject-specific requirements. View the full course details or contact Admissions before applying.</x:v>
      </x:c>
      <x:c r="K66" s="35" t="str">
        <x:v>https://www.keele.ac.uk/clearing/entry-requirements/</x:v>
      </x:c>
      <x:c r="L66" s="35" t="str">
        <x:v>https://www.keele.ac.uk/study/undergraduate-2026/undergraduatecourses/chemistrywithintegratedmasters/</x:v>
      </x:c>
      <x:c r="M66" s="33" t="str">
        <x:v>Yes</x:v>
      </x:c>
      <x:c r="N66" s="38" t="n">
        <x:v>46195</x:v>
      </x:c>
      <x:c r="O66" s="35" t="str">
        <x:v>Clearing content team</x:v>
      </x:c>
      <x:c r="P66" s="35" t="str">
        <x:v>Initial import from Clearing vacancies and ER page for 2026.docx</x:v>
      </x:c>
      <x:c r="Q66" s="36" t="str">
        <x:f>IF(A66="","Missing ID",IF(COUNTIF($A$5:$A$1000,A66)&gt;1,"Duplicate ID",IF(C66="","Missing title",IF(D66="","Missing type",IF(E66="","Missing availability",IF(H66="","Missing offer",IF(L66="","Missing course URL",IF(ISERROR(SEARCH("https://www.keele.ac.uk/",L66)),"Non-Keele URL",IF(AND(D66="Foundation year",ISERROR(SEARCH("#foundationyear",L66))),"FY URL missing #foundationyear",IF(M66="","Missing display status",IF(N66="","Missing review date",IF(O66="","Missing owner",IF(P66="","Missing change note","OK")))))))))))))</x:f>
        <x:v>OK</x:v>
      </x:c>
    </x:row>
    <x:row r="67">
      <x:c r="A67" s="33" t="str">
        <x:v>2026-chemistrywithintegratedmasters-FY</x:v>
      </x:c>
      <x:c r="B67" s="37" t="n">
        <x:v>2026</x:v>
      </x:c>
      <x:c r="C67" s="35" t="str">
        <x:v>Chemistry with Integrated Master's with Foundation Year</x:v>
      </x:c>
      <x:c r="D67" s="33" t="str">
        <x:v>Foundation year</x:v>
      </x:c>
      <x:c r="E67" s="33" t="str">
        <x:v>Vacancies</x:v>
      </x:c>
      <x:c r="F67" s="33" t="str"/>
      <x:c r="G67" s="33" t="str"/>
      <x:c r="H67" s="35" t="str">
        <x:v>Course-specific</x:v>
      </x:c>
      <x:c r="I67" s="35" t="str">
        <x:v>No</x:v>
      </x:c>
      <x:c r="J67" s="35" t="str">
        <x:v>Foundation Year requirements vary by course. View the full course details or call 01782 491120 to discuss your qualifications.</x:v>
      </x:c>
      <x:c r="K67" s="35" t="str">
        <x:v>https://www.keele.ac.uk/clearing/entry-requirements/</x:v>
      </x:c>
      <x:c r="L67" s="35" t="str">
        <x:v>https://www.keele.ac.uk/study/undergraduate-2026/undergraduatecourses/chemistrywithintegratedmasters/#foundationyear</x:v>
      </x:c>
      <x:c r="M67" s="33" t="str">
        <x:v>Yes</x:v>
      </x:c>
      <x:c r="N67" s="38" t="n">
        <x:v>46195</x:v>
      </x:c>
      <x:c r="O67" s="35" t="str">
        <x:v>Clearing content team</x:v>
      </x:c>
      <x:c r="P67" s="35" t="str">
        <x:v>Initial import from Clearing vacancies and ER page for 2026.docx</x:v>
      </x:c>
      <x:c r="Q67" s="36" t="str">
        <x:f>IF(A67="","Missing ID",IF(COUNTIF($A$5:$A$1000,A67)&gt;1,"Duplicate ID",IF(C67="","Missing title",IF(D67="","Missing type",IF(E67="","Missing availability",IF(H67="","Missing offer",IF(L67="","Missing course URL",IF(ISERROR(SEARCH("https://www.keele.ac.uk/",L67)),"Non-Keele URL",IF(AND(D67="Foundation year",ISERROR(SEARCH("#foundationyear",L67))),"FY URL missing #foundationyear",IF(M67="","Missing display status",IF(N67="","Missing review date",IF(O67="","Missing owner",IF(P67="","Missing change note","OK")))))))))))))</x:f>
        <x:v>OK</x:v>
      </x:c>
    </x:row>
    <x:row r="68">
      <x:c r="A68" s="33" t="str">
        <x:v>2026-F106-UG</x:v>
      </x:c>
      <x:c r="B68" s="37" t="n">
        <x:v>2026</x:v>
      </x:c>
      <x:c r="C68" s="35" t="str">
        <x:v>Chemistry with Materials Chemistry</x:v>
      </x:c>
      <x:c r="D68" s="33" t="str">
        <x:v>Undergraduate</x:v>
      </x:c>
      <x:c r="E68" s="33" t="str">
        <x:v>Vacancies</x:v>
      </x:c>
      <x:c r="F68" s="33" t="str">
        <x:v>F106</x:v>
      </x:c>
      <x:c r="G68" s="33" t="str">
        <x:v>BSc (Hons)</x:v>
      </x:c>
      <x:c r="H68" s="35" t="str">
        <x:v>64 UCAS tariff points</x:v>
      </x:c>
      <x:c r="I68" s="35" t="str">
        <x:v>Yes</x:v>
      </x:c>
      <x:c r="J68" s="35" t="str">
        <x:v>This course has additional subject-specific requirements. View the full course details or contact Admissions before applying.</x:v>
      </x:c>
      <x:c r="K68" s="35" t="str">
        <x:v>https://www.keele.ac.uk/clearing/entry-requirements/</x:v>
      </x:c>
      <x:c r="L68" s="35" t="str">
        <x:v>https://www.keele.ac.uk/study/undergraduate-2026/undergraduatecourses/chemistrywithmaterialschemistry/</x:v>
      </x:c>
      <x:c r="M68" s="33" t="str">
        <x:v>Yes</x:v>
      </x:c>
      <x:c r="N68" s="38" t="n">
        <x:v>46195</x:v>
      </x:c>
      <x:c r="O68" s="35" t="str">
        <x:v>Clearing content team</x:v>
      </x:c>
      <x:c r="P68" s="35" t="str">
        <x:v>Initial import from Clearing vacancies and ER page for 2026.docx</x:v>
      </x:c>
      <x:c r="Q68" s="36" t="str">
        <x:f>IF(A68="","Missing ID",IF(COUNTIF($A$5:$A$1000,A68)&gt;1,"Duplicate ID",IF(C68="","Missing title",IF(D68="","Missing type",IF(E68="","Missing availability",IF(H68="","Missing offer",IF(L68="","Missing course URL",IF(ISERROR(SEARCH("https://www.keele.ac.uk/",L68)),"Non-Keele URL",IF(AND(D68="Foundation year",ISERROR(SEARCH("#foundationyear",L68))),"FY URL missing #foundationyear",IF(M68="","Missing display status",IF(N68="","Missing review date",IF(O68="","Missing owner",IF(P68="","Missing change note","OK")))))))))))))</x:f>
        <x:v>OK</x:v>
      </x:c>
    </x:row>
    <x:row r="69">
      <x:c r="A69" s="33" t="str">
        <x:v>2026-chemistrywithmaterialschemistry-FY</x:v>
      </x:c>
      <x:c r="B69" s="37" t="n">
        <x:v>2026</x:v>
      </x:c>
      <x:c r="C69" s="35" t="str">
        <x:v>Chemistry with Materials Chemistry with Foundation Year</x:v>
      </x:c>
      <x:c r="D69" s="33" t="str">
        <x:v>Foundation year</x:v>
      </x:c>
      <x:c r="E69" s="33" t="str">
        <x:v>Vacancies</x:v>
      </x:c>
      <x:c r="F69" s="33" t="str"/>
      <x:c r="G69" s="33" t="str"/>
      <x:c r="H69" s="35" t="str">
        <x:v>Course-specific</x:v>
      </x:c>
      <x:c r="I69" s="35" t="str">
        <x:v>No</x:v>
      </x:c>
      <x:c r="J69" s="35" t="str">
        <x:v>Foundation Year requirements vary by course. View the full course details or call 01782 491120 to discuss your qualifications.</x:v>
      </x:c>
      <x:c r="K69" s="35" t="str">
        <x:v>https://www.keele.ac.uk/clearing/entry-requirements/</x:v>
      </x:c>
      <x:c r="L69" s="35" t="str">
        <x:v>https://www.keele.ac.uk/study/undergraduate-2026/undergraduatecourses/chemistrywithmaterialschemistry/#foundationyear</x:v>
      </x:c>
      <x:c r="M69" s="33" t="str">
        <x:v>Yes</x:v>
      </x:c>
      <x:c r="N69" s="38" t="n">
        <x:v>46195</x:v>
      </x:c>
      <x:c r="O69" s="35" t="str">
        <x:v>Clearing content team</x:v>
      </x:c>
      <x:c r="P69" s="35" t="str">
        <x:v>Initial import from Clearing vacancies and ER page for 2026.docx</x:v>
      </x:c>
      <x:c r="Q69" s="36" t="str">
        <x:f>IF(A69="","Missing ID",IF(COUNTIF($A$5:$A$1000,A69)&gt;1,"Duplicate ID",IF(C69="","Missing title",IF(D69="","Missing type",IF(E69="","Missing availability",IF(H69="","Missing offer",IF(L69="","Missing course URL",IF(ISERROR(SEARCH("https://www.keele.ac.uk/",L69)),"Non-Keele URL",IF(AND(D69="Foundation year",ISERROR(SEARCH("#foundationyear",L69))),"FY URL missing #foundationyear",IF(M69="","Missing display status",IF(N69="","Missing review date",IF(O69="","Missing owner",IF(P69="","Missing change note","OK")))))))))))))</x:f>
        <x:v>OK</x:v>
      </x:c>
    </x:row>
    <x:row r="70">
      <x:c r="A70" s="33" t="str">
        <x:v>2026-F108-UG</x:v>
      </x:c>
      <x:c r="B70" s="37" t="n">
        <x:v>2026</x:v>
      </x:c>
      <x:c r="C70" s="35" t="str">
        <x:v>Chemistry with Materials Chemistry with Integrated Master's</x:v>
      </x:c>
      <x:c r="D70" s="33" t="str">
        <x:v>Undergraduate</x:v>
      </x:c>
      <x:c r="E70" s="33" t="str">
        <x:v>Vacancies</x:v>
      </x:c>
      <x:c r="F70" s="33" t="str">
        <x:v>F108</x:v>
      </x:c>
      <x:c r="G70" s="33" t="str">
        <x:v>MChem</x:v>
      </x:c>
      <x:c r="H70" s="35" t="str">
        <x:v>64 UCAS tariff points</x:v>
      </x:c>
      <x:c r="I70" s="35" t="str">
        <x:v>Yes</x:v>
      </x:c>
      <x:c r="J70" s="35" t="str">
        <x:v>This course has additional subject-specific requirements. View the full course details or contact Admissions before applying.</x:v>
      </x:c>
      <x:c r="K70" s="35" t="str">
        <x:v>https://www.keele.ac.uk/clearing/entry-requirements/</x:v>
      </x:c>
      <x:c r="L70" s="35" t="str">
        <x:v>https://www.keele.ac.uk/study/undergraduate-2026/undergraduatecourses/chemistrywithmaterialschemistrywithintegratedmasters/</x:v>
      </x:c>
      <x:c r="M70" s="33" t="str">
        <x:v>Yes</x:v>
      </x:c>
      <x:c r="N70" s="38" t="n">
        <x:v>46195</x:v>
      </x:c>
      <x:c r="O70" s="35" t="str">
        <x:v>Clearing content team</x:v>
      </x:c>
      <x:c r="P70" s="35" t="str">
        <x:v>Initial import from Clearing vacancies and ER page for 2026.docx</x:v>
      </x:c>
      <x:c r="Q70" s="36" t="str">
        <x:f>IF(A70="","Missing ID",IF(COUNTIF($A$5:$A$1000,A70)&gt;1,"Duplicate ID",IF(C70="","Missing title",IF(D70="","Missing type",IF(E70="","Missing availability",IF(H70="","Missing offer",IF(L70="","Missing course URL",IF(ISERROR(SEARCH("https://www.keele.ac.uk/",L70)),"Non-Keele URL",IF(AND(D70="Foundation year",ISERROR(SEARCH("#foundationyear",L70))),"FY URL missing #foundationyear",IF(M70="","Missing display status",IF(N70="","Missing review date",IF(O70="","Missing owner",IF(P70="","Missing change note","OK")))))))))))))</x:f>
        <x:v>OK</x:v>
      </x:c>
    </x:row>
    <x:row r="71">
      <x:c r="A71" s="33" t="str">
        <x:v>2026-chemistrywithmaterialschemistrywithintegratedmasters-FY</x:v>
      </x:c>
      <x:c r="B71" s="37" t="n">
        <x:v>2026</x:v>
      </x:c>
      <x:c r="C71" s="35" t="str">
        <x:v>Chemistry with Materials Chemistry with Integrated Master's with Foundation Year</x:v>
      </x:c>
      <x:c r="D71" s="33" t="str">
        <x:v>Foundation year</x:v>
      </x:c>
      <x:c r="E71" s="33" t="str">
        <x:v>Vacancies</x:v>
      </x:c>
      <x:c r="F71" s="33" t="str"/>
      <x:c r="G71" s="33" t="str"/>
      <x:c r="H71" s="35" t="str">
        <x:v>Course-specific</x:v>
      </x:c>
      <x:c r="I71" s="35" t="str">
        <x:v>No</x:v>
      </x:c>
      <x:c r="J71" s="35" t="str">
        <x:v>Foundation Year requirements vary by course. View the full course details or call 01782 491120 to discuss your qualifications.</x:v>
      </x:c>
      <x:c r="K71" s="35" t="str">
        <x:v>https://www.keele.ac.uk/clearing/entry-requirements/</x:v>
      </x:c>
      <x:c r="L71" s="35" t="str">
        <x:v>https://www.keele.ac.uk/study/undergraduate-2026/undergraduatecourses/chemistrywithmaterialschemistrywithintegratedmasters/#foundationyear</x:v>
      </x:c>
      <x:c r="M71" s="33" t="str">
        <x:v>Yes</x:v>
      </x:c>
      <x:c r="N71" s="38" t="n">
        <x:v>46195</x:v>
      </x:c>
      <x:c r="O71" s="35" t="str">
        <x:v>Clearing content team</x:v>
      </x:c>
      <x:c r="P71" s="35" t="str">
        <x:v>Initial import from Clearing vacancies and ER page for 2026.docx</x:v>
      </x:c>
      <x:c r="Q71" s="36" t="str">
        <x:f>IF(A71="","Missing ID",IF(COUNTIF($A$5:$A$1000,A71)&gt;1,"Duplicate ID",IF(C71="","Missing title",IF(D71="","Missing type",IF(E71="","Missing availability",IF(H71="","Missing offer",IF(L71="","Missing course URL",IF(ISERROR(SEARCH("https://www.keele.ac.uk/",L71)),"Non-Keele URL",IF(AND(D71="Foundation year",ISERROR(SEARCH("#foundationyear",L71))),"FY URL missing #foundationyear",IF(M71="","Missing display status",IF(N71="","Missing review date",IF(O71="","Missing owner",IF(P71="","Missing change note","OK")))))))))))))</x:f>
        <x:v>OK</x:v>
      </x:c>
    </x:row>
    <x:row r="72">
      <x:c r="A72" s="33" t="str">
        <x:v>2026-FG12-UG</x:v>
      </x:c>
      <x:c r="B72" s="37" t="n">
        <x:v>2026</x:v>
      </x:c>
      <x:c r="C72" s="35" t="str">
        <x:v>Chemistry with Mathematics</x:v>
      </x:c>
      <x:c r="D72" s="33" t="str">
        <x:v>Undergraduate</x:v>
      </x:c>
      <x:c r="E72" s="33" t="str">
        <x:v>Vacancies</x:v>
      </x:c>
      <x:c r="F72" s="33" t="str">
        <x:v>FG12</x:v>
      </x:c>
      <x:c r="G72" s="33" t="str">
        <x:v>BSc (Hons)</x:v>
      </x:c>
      <x:c r="H72" s="35" t="str">
        <x:v>64 UCAS tariff points</x:v>
      </x:c>
      <x:c r="I72" s="35" t="str">
        <x:v>Yes</x:v>
      </x:c>
      <x:c r="J72" s="35" t="str">
        <x:v>This course has additional subject-specific requirements. View the full course details or contact Admissions before applying.</x:v>
      </x:c>
      <x:c r="K72" s="35" t="str">
        <x:v>https://www.keele.ac.uk/clearing/entry-requirements/</x:v>
      </x:c>
      <x:c r="L72" s="35" t="str">
        <x:v>https://www.keele.ac.uk/study/undergraduate-2026/undergraduatecourses/chemistrywithmathematics/</x:v>
      </x:c>
      <x:c r="M72" s="33" t="str">
        <x:v>Yes</x:v>
      </x:c>
      <x:c r="N72" s="38" t="n">
        <x:v>46195</x:v>
      </x:c>
      <x:c r="O72" s="35" t="str">
        <x:v>Clearing content team</x:v>
      </x:c>
      <x:c r="P72" s="35" t="str">
        <x:v>Initial import from Clearing vacancies and ER page for 2026.docx</x:v>
      </x:c>
      <x:c r="Q72" s="36" t="str">
        <x:f>IF(A72="","Missing ID",IF(COUNTIF($A$5:$A$1000,A72)&gt;1,"Duplicate ID",IF(C72="","Missing title",IF(D72="","Missing type",IF(E72="","Missing availability",IF(H72="","Missing offer",IF(L72="","Missing course URL",IF(ISERROR(SEARCH("https://www.keele.ac.uk/",L72)),"Non-Keele URL",IF(AND(D72="Foundation year",ISERROR(SEARCH("#foundationyear",L72))),"FY URL missing #foundationyear",IF(M72="","Missing display status",IF(N72="","Missing review date",IF(O72="","Missing owner",IF(P72="","Missing change note","OK")))))))))))))</x:f>
        <x:v>OK</x:v>
      </x:c>
    </x:row>
    <x:row r="73">
      <x:c r="A73" s="33" t="str">
        <x:v>2026-chemistrywithmathematics-FY</x:v>
      </x:c>
      <x:c r="B73" s="37" t="n">
        <x:v>2026</x:v>
      </x:c>
      <x:c r="C73" s="35" t="str">
        <x:v>Chemistry with Mathematics with Foundation Year</x:v>
      </x:c>
      <x:c r="D73" s="33" t="str">
        <x:v>Foundation year</x:v>
      </x:c>
      <x:c r="E73" s="33" t="str">
        <x:v>Vacancies</x:v>
      </x:c>
      <x:c r="F73" s="33" t="str"/>
      <x:c r="G73" s="33" t="str"/>
      <x:c r="H73" s="35" t="str">
        <x:v>Course-specific</x:v>
      </x:c>
      <x:c r="I73" s="35" t="str">
        <x:v>No</x:v>
      </x:c>
      <x:c r="J73" s="35" t="str">
        <x:v>Foundation Year requirements vary by course. View the full course details or call 01782 491120 to discuss your qualifications.</x:v>
      </x:c>
      <x:c r="K73" s="35" t="str">
        <x:v>https://www.keele.ac.uk/clearing/entry-requirements/</x:v>
      </x:c>
      <x:c r="L73" s="35" t="str">
        <x:v>https://www.keele.ac.uk/study/undergraduate-2026/undergraduatecourses/chemistrywithmathematics/#foundationyear</x:v>
      </x:c>
      <x:c r="M73" s="33" t="str">
        <x:v>Yes</x:v>
      </x:c>
      <x:c r="N73" s="38" t="n">
        <x:v>46195</x:v>
      </x:c>
      <x:c r="O73" s="35" t="str">
        <x:v>Clearing content team</x:v>
      </x:c>
      <x:c r="P73" s="35" t="str">
        <x:v>Initial import from Clearing vacancies and ER page for 2026.docx</x:v>
      </x:c>
      <x:c r="Q73" s="36" t="str">
        <x:f>IF(A73="","Missing ID",IF(COUNTIF($A$5:$A$1000,A73)&gt;1,"Duplicate ID",IF(C73="","Missing title",IF(D73="","Missing type",IF(E73="","Missing availability",IF(H73="","Missing offer",IF(L73="","Missing course URL",IF(ISERROR(SEARCH("https://www.keele.ac.uk/",L73)),"Non-Keele URL",IF(AND(D73="Foundation year",ISERROR(SEARCH("#foundationyear",L73))),"FY URL missing #foundationyear",IF(M73="","Missing display status",IF(N73="","Missing review date",IF(O73="","Missing owner",IF(P73="","Missing change note","OK")))))))))))))</x:f>
        <x:v>OK</x:v>
      </x:c>
    </x:row>
    <x:row r="74">
      <x:c r="A74" s="33" t="str">
        <x:v>2026-FG13-UG</x:v>
      </x:c>
      <x:c r="B74" s="37" t="n">
        <x:v>2026</x:v>
      </x:c>
      <x:c r="C74" s="35" t="str">
        <x:v>Chemistry with Mathematics with Integrated Master's</x:v>
      </x:c>
      <x:c r="D74" s="33" t="str">
        <x:v>Undergraduate</x:v>
      </x:c>
      <x:c r="E74" s="33" t="str">
        <x:v>Vacancies</x:v>
      </x:c>
      <x:c r="F74" s="33" t="str">
        <x:v>FG13</x:v>
      </x:c>
      <x:c r="G74" s="33" t="str">
        <x:v>MChem</x:v>
      </x:c>
      <x:c r="H74" s="35" t="str">
        <x:v>64 UCAS tariff points</x:v>
      </x:c>
      <x:c r="I74" s="35" t="str">
        <x:v>Yes</x:v>
      </x:c>
      <x:c r="J74" s="35" t="str">
        <x:v>This course has additional subject-specific requirements. View the full course details or contact Admissions before applying.</x:v>
      </x:c>
      <x:c r="K74" s="35" t="str">
        <x:v>https://www.keele.ac.uk/clearing/entry-requirements/</x:v>
      </x:c>
      <x:c r="L74" s="35" t="str">
        <x:v>https://www.keele.ac.uk/study/undergraduate-2026/undergraduatecourses/chemistrywithmathematicswithintegratedmasters/</x:v>
      </x:c>
      <x:c r="M74" s="33" t="str">
        <x:v>Yes</x:v>
      </x:c>
      <x:c r="N74" s="38" t="n">
        <x:v>46195</x:v>
      </x:c>
      <x:c r="O74" s="35" t="str">
        <x:v>Clearing content team</x:v>
      </x:c>
      <x:c r="P74" s="35" t="str">
        <x:v>Initial import from Clearing vacancies and ER page for 2026.docx</x:v>
      </x:c>
      <x:c r="Q74" s="36" t="str">
        <x:f>IF(A74="","Missing ID",IF(COUNTIF($A$5:$A$1000,A74)&gt;1,"Duplicate ID",IF(C74="","Missing title",IF(D74="","Missing type",IF(E74="","Missing availability",IF(H74="","Missing offer",IF(L74="","Missing course URL",IF(ISERROR(SEARCH("https://www.keele.ac.uk/",L74)),"Non-Keele URL",IF(AND(D74="Foundation year",ISERROR(SEARCH("#foundationyear",L74))),"FY URL missing #foundationyear",IF(M74="","Missing display status",IF(N74="","Missing review date",IF(O74="","Missing owner",IF(P74="","Missing change note","OK")))))))))))))</x:f>
        <x:v>OK</x:v>
      </x:c>
    </x:row>
    <x:row r="75">
      <x:c r="A75" s="33" t="str">
        <x:v>2026-chemistrywithmathematicswithintegratedmasters-FY</x:v>
      </x:c>
      <x:c r="B75" s="37" t="n">
        <x:v>2026</x:v>
      </x:c>
      <x:c r="C75" s="35" t="str">
        <x:v>Chemistry with Mathematics with Integrated Master's with Foundation Year</x:v>
      </x:c>
      <x:c r="D75" s="33" t="str">
        <x:v>Foundation year</x:v>
      </x:c>
      <x:c r="E75" s="33" t="str">
        <x:v>Vacancies</x:v>
      </x:c>
      <x:c r="F75" s="33" t="str"/>
      <x:c r="G75" s="33" t="str"/>
      <x:c r="H75" s="35" t="str">
        <x:v>Course-specific</x:v>
      </x:c>
      <x:c r="I75" s="35" t="str">
        <x:v>No</x:v>
      </x:c>
      <x:c r="J75" s="35" t="str">
        <x:v>Foundation Year requirements vary by course. View the full course details or call 01782 491120 to discuss your qualifications.</x:v>
      </x:c>
      <x:c r="K75" s="35" t="str">
        <x:v>https://www.keele.ac.uk/clearing/entry-requirements/</x:v>
      </x:c>
      <x:c r="L75" s="35" t="str">
        <x:v>https://www.keele.ac.uk/study/undergraduate-2026/undergraduatecourses/chemistrywithmathematicswithintegratedmasters/#foundationyear</x:v>
      </x:c>
      <x:c r="M75" s="33" t="str">
        <x:v>Yes</x:v>
      </x:c>
      <x:c r="N75" s="38" t="n">
        <x:v>46195</x:v>
      </x:c>
      <x:c r="O75" s="35" t="str">
        <x:v>Clearing content team</x:v>
      </x:c>
      <x:c r="P75" s="35" t="str">
        <x:v>Initial import from Clearing vacancies and ER page for 2026.docx</x:v>
      </x:c>
      <x:c r="Q75" s="36" t="str">
        <x:f>IF(A75="","Missing ID",IF(COUNTIF($A$5:$A$1000,A75)&gt;1,"Duplicate ID",IF(C75="","Missing title",IF(D75="","Missing type",IF(E75="","Missing availability",IF(H75="","Missing offer",IF(L75="","Missing course URL",IF(ISERROR(SEARCH("https://www.keele.ac.uk/",L75)),"Non-Keele URL",IF(AND(D75="Foundation year",ISERROR(SEARCH("#foundationyear",L75))),"FY URL missing #foundationyear",IF(M75="","Missing display status",IF(N75="","Missing review date",IF(O75="","Missing owner",IF(P75="","Missing change note","OK")))))))))))))</x:f>
        <x:v>OK</x:v>
      </x:c>
    </x:row>
    <x:row r="76">
      <x:c r="A76" s="33" t="str">
        <x:v>2026-F123-UG</x:v>
      </x:c>
      <x:c r="B76" s="37" t="n">
        <x:v>2026</x:v>
      </x:c>
      <x:c r="C76" s="35" t="str">
        <x:v>Chemistry with Medicinal Chemistry</x:v>
      </x:c>
      <x:c r="D76" s="33" t="str">
        <x:v>Undergraduate</x:v>
      </x:c>
      <x:c r="E76" s="33" t="str">
        <x:v>Vacancies</x:v>
      </x:c>
      <x:c r="F76" s="33" t="str">
        <x:v>F123</x:v>
      </x:c>
      <x:c r="G76" s="33" t="str">
        <x:v>BSc (Hons)</x:v>
      </x:c>
      <x:c r="H76" s="35" t="str">
        <x:v>64 UCAS tariff points</x:v>
      </x:c>
      <x:c r="I76" s="35" t="str">
        <x:v>Yes</x:v>
      </x:c>
      <x:c r="J76" s="35" t="str">
        <x:v>This course has additional subject-specific requirements. View the full course details or contact Admissions before applying.</x:v>
      </x:c>
      <x:c r="K76" s="35" t="str">
        <x:v>https://www.keele.ac.uk/clearing/entry-requirements/</x:v>
      </x:c>
      <x:c r="L76" s="35" t="str">
        <x:v>https://www.keele.ac.uk/study/undergraduate-2026/undergraduatecourses/chemistrywithmedicinalchemistry/</x:v>
      </x:c>
      <x:c r="M76" s="33" t="str">
        <x:v>Yes</x:v>
      </x:c>
      <x:c r="N76" s="38" t="n">
        <x:v>46195</x:v>
      </x:c>
      <x:c r="O76" s="35" t="str">
        <x:v>Clearing content team</x:v>
      </x:c>
      <x:c r="P76" s="35" t="str">
        <x:v>Initial import from Clearing vacancies and ER page for 2026.docx</x:v>
      </x:c>
      <x:c r="Q76" s="36" t="str">
        <x:f>IF(A76="","Missing ID",IF(COUNTIF($A$5:$A$1000,A76)&gt;1,"Duplicate ID",IF(C76="","Missing title",IF(D76="","Missing type",IF(E76="","Missing availability",IF(H76="","Missing offer",IF(L76="","Missing course URL",IF(ISERROR(SEARCH("https://www.keele.ac.uk/",L76)),"Non-Keele URL",IF(AND(D76="Foundation year",ISERROR(SEARCH("#foundationyear",L76))),"FY URL missing #foundationyear",IF(M76="","Missing display status",IF(N76="","Missing review date",IF(O76="","Missing owner",IF(P76="","Missing change note","OK")))))))))))))</x:f>
        <x:v>OK</x:v>
      </x:c>
    </x:row>
    <x:row r="77">
      <x:c r="A77" s="33" t="str">
        <x:v>2026-chemistrywithmedicinalchemistry-FY</x:v>
      </x:c>
      <x:c r="B77" s="37" t="n">
        <x:v>2026</x:v>
      </x:c>
      <x:c r="C77" s="35" t="str">
        <x:v>Chemistry with Medicinal Chemistry with Foundation Year</x:v>
      </x:c>
      <x:c r="D77" s="33" t="str">
        <x:v>Foundation year</x:v>
      </x:c>
      <x:c r="E77" s="33" t="str">
        <x:v>Vacancies</x:v>
      </x:c>
      <x:c r="F77" s="33" t="str"/>
      <x:c r="G77" s="33" t="str"/>
      <x:c r="H77" s="35" t="str">
        <x:v>Course-specific</x:v>
      </x:c>
      <x:c r="I77" s="35" t="str">
        <x:v>No</x:v>
      </x:c>
      <x:c r="J77" s="35" t="str">
        <x:v>Foundation Year requirements vary by course. View the full course details or call 01782 491120 to discuss your qualifications.</x:v>
      </x:c>
      <x:c r="K77" s="35" t="str">
        <x:v>https://www.keele.ac.uk/clearing/entry-requirements/</x:v>
      </x:c>
      <x:c r="L77" s="35" t="str">
        <x:v>https://www.keele.ac.uk/study/undergraduate-2026/undergraduatecourses/chemistrywithmedicinalchemistry/#foundationyear</x:v>
      </x:c>
      <x:c r="M77" s="33" t="str">
        <x:v>Yes</x:v>
      </x:c>
      <x:c r="N77" s="38" t="n">
        <x:v>46195</x:v>
      </x:c>
      <x:c r="O77" s="35" t="str">
        <x:v>Clearing content team</x:v>
      </x:c>
      <x:c r="P77" s="35" t="str">
        <x:v>Initial import from Clearing vacancies and ER page for 2026.docx</x:v>
      </x:c>
      <x:c r="Q77" s="36" t="str">
        <x:f>IF(A77="","Missing ID",IF(COUNTIF($A$5:$A$1000,A77)&gt;1,"Duplicate ID",IF(C77="","Missing title",IF(D77="","Missing type",IF(E77="","Missing availability",IF(H77="","Missing offer",IF(L77="","Missing course URL",IF(ISERROR(SEARCH("https://www.keele.ac.uk/",L77)),"Non-Keele URL",IF(AND(D77="Foundation year",ISERROR(SEARCH("#foundationyear",L77))),"FY URL missing #foundationyear",IF(M77="","Missing display status",IF(N77="","Missing review date",IF(O77="","Missing owner",IF(P77="","Missing change note","OK")))))))))))))</x:f>
        <x:v>OK</x:v>
      </x:c>
    </x:row>
    <x:row r="78">
      <x:c r="A78" s="33" t="str">
        <x:v>2026-F124-UG</x:v>
      </x:c>
      <x:c r="B78" s="37" t="n">
        <x:v>2026</x:v>
      </x:c>
      <x:c r="C78" s="35" t="str">
        <x:v>Chemistry with Medicinal Chemistry with Integrated Master's</x:v>
      </x:c>
      <x:c r="D78" s="33" t="str">
        <x:v>Undergraduate</x:v>
      </x:c>
      <x:c r="E78" s="33" t="str">
        <x:v>Vacancies</x:v>
      </x:c>
      <x:c r="F78" s="33" t="str">
        <x:v>F124</x:v>
      </x:c>
      <x:c r="G78" s="33" t="str"/>
      <x:c r="H78" s="35" t="str">
        <x:v>64 UCAS tariff points</x:v>
      </x:c>
      <x:c r="I78" s="35" t="str">
        <x:v>Yes</x:v>
      </x:c>
      <x:c r="J78" s="35" t="str">
        <x:v>This course has additional subject-specific requirements. View the full course details or contact Admissions before applying.</x:v>
      </x:c>
      <x:c r="K78" s="35" t="str">
        <x:v>https://www.keele.ac.uk/clearing/entry-requirements/</x:v>
      </x:c>
      <x:c r="L78" s="35" t="str">
        <x:v>https://www.keele.ac.uk/study/undergraduate-2026/undergraduatecourses/chemistrywithmedicinalchemistrywithintegratedmasters/</x:v>
      </x:c>
      <x:c r="M78" s="33" t="str">
        <x:v>Yes</x:v>
      </x:c>
      <x:c r="N78" s="38" t="n">
        <x:v>46195</x:v>
      </x:c>
      <x:c r="O78" s="35" t="str">
        <x:v>Clearing content team</x:v>
      </x:c>
      <x:c r="P78" s="35" t="str">
        <x:v>Initial import from Clearing vacancies and ER page for 2026.docx</x:v>
      </x:c>
      <x:c r="Q78" s="36" t="str">
        <x:f>IF(A78="","Missing ID",IF(COUNTIF($A$5:$A$1000,A78)&gt;1,"Duplicate ID",IF(C78="","Missing title",IF(D78="","Missing type",IF(E78="","Missing availability",IF(H78="","Missing offer",IF(L78="","Missing course URL",IF(ISERROR(SEARCH("https://www.keele.ac.uk/",L78)),"Non-Keele URL",IF(AND(D78="Foundation year",ISERROR(SEARCH("#foundationyear",L78))),"FY URL missing #foundationyear",IF(M78="","Missing display status",IF(N78="","Missing review date",IF(O78="","Missing owner",IF(P78="","Missing change note","OK")))))))))))))</x:f>
        <x:v>OK</x:v>
      </x:c>
    </x:row>
    <x:row r="79">
      <x:c r="A79" s="33" t="str">
        <x:v>2026-chemistrywithmedicinalchemistrywithintegratedmasters-FY</x:v>
      </x:c>
      <x:c r="B79" s="37" t="n">
        <x:v>2026</x:v>
      </x:c>
      <x:c r="C79" s="35" t="str">
        <x:v>Chemistry with Medicinal Chemistry with Integrated Master's with Foundation Year</x:v>
      </x:c>
      <x:c r="D79" s="33" t="str">
        <x:v>Foundation year</x:v>
      </x:c>
      <x:c r="E79" s="33" t="str">
        <x:v>Vacancies</x:v>
      </x:c>
      <x:c r="F79" s="33" t="str"/>
      <x:c r="G79" s="33" t="str"/>
      <x:c r="H79" s="35" t="str">
        <x:v>Course-specific</x:v>
      </x:c>
      <x:c r="I79" s="35" t="str">
        <x:v>No</x:v>
      </x:c>
      <x:c r="J79" s="35" t="str">
        <x:v>Foundation Year requirements vary by course. View the full course details or call 01782 491120 to discuss your qualifications.</x:v>
      </x:c>
      <x:c r="K79" s="35" t="str">
        <x:v>https://www.keele.ac.uk/clearing/entry-requirements/</x:v>
      </x:c>
      <x:c r="L79" s="35" t="str">
        <x:v>https://www.keele.ac.uk/study/undergraduate-2026/undergraduatecourses/chemistrywithmedicinalchemistrywithintegratedmasters/#foundationyear</x:v>
      </x:c>
      <x:c r="M79" s="33" t="str">
        <x:v>Yes</x:v>
      </x:c>
      <x:c r="N79" s="38" t="n">
        <x:v>46195</x:v>
      </x:c>
      <x:c r="O79" s="35" t="str">
        <x:v>Clearing content team</x:v>
      </x:c>
      <x:c r="P79" s="35" t="str">
        <x:v>Initial import from Clearing vacancies and ER page for 2026.docx</x:v>
      </x:c>
      <x:c r="Q79" s="36" t="str">
        <x:f>IF(A79="","Missing ID",IF(COUNTIF($A$5:$A$1000,A79)&gt;1,"Duplicate ID",IF(C79="","Missing title",IF(D79="","Missing type",IF(E79="","Missing availability",IF(H79="","Missing offer",IF(L79="","Missing course URL",IF(ISERROR(SEARCH("https://www.keele.ac.uk/",L79)),"Non-Keele URL",IF(AND(D79="Foundation year",ISERROR(SEARCH("#foundationyear",L79))),"FY URL missing #foundationyear",IF(M79="","Missing display status",IF(N79="","Missing review date",IF(O79="","Missing owner",IF(P79="","Missing change note","OK")))))))))))))</x:f>
        <x:v>OK</x:v>
      </x:c>
    </x:row>
    <x:row r="80">
      <x:c r="A80" s="33" t="str">
        <x:v>2026-H200-UG</x:v>
      </x:c>
      <x:c r="B80" s="37" t="n">
        <x:v>2026</x:v>
      </x:c>
      <x:c r="C80" s="35" t="str">
        <x:v>Civil Engineering</x:v>
      </x:c>
      <x:c r="D80" s="33" t="str">
        <x:v>Undergraduate</x:v>
      </x:c>
      <x:c r="E80" s="33" t="str">
        <x:v>Vacancies</x:v>
      </x:c>
      <x:c r="F80" s="33" t="str">
        <x:v>H200</x:v>
      </x:c>
      <x:c r="G80" s="33" t="str">
        <x:v>BEng</x:v>
      </x:c>
      <x:c r="H80" s="35" t="str">
        <x:v>64 UCAS tariff points</x:v>
      </x:c>
      <x:c r="I80" s="35" t="str">
        <x:v>Yes</x:v>
      </x:c>
      <x:c r="J80" s="35" t="str">
        <x:v>This course has additional subject-specific requirements. View the full course details or contact Admissions before applying.</x:v>
      </x:c>
      <x:c r="K80" s="35" t="str">
        <x:v>https://www.keele.ac.uk/clearing/entry-requirements/</x:v>
      </x:c>
      <x:c r="L80" s="35" t="str">
        <x:v>https://www.keele.ac.uk/study/undergraduate-2026/undergraduatecourses/civilengineering/</x:v>
      </x:c>
      <x:c r="M80" s="33" t="str">
        <x:v>Yes</x:v>
      </x:c>
      <x:c r="N80" s="38" t="n">
        <x:v>46195</x:v>
      </x:c>
      <x:c r="O80" s="35" t="str">
        <x:v>Clearing content team</x:v>
      </x:c>
      <x:c r="P80" s="35" t="str">
        <x:v>Initial import from Clearing vacancies and ER page for 2026.docx</x:v>
      </x:c>
      <x:c r="Q80" s="36" t="str">
        <x:f>IF(A80="","Missing ID",IF(COUNTIF($A$5:$A$1000,A80)&gt;1,"Duplicate ID",IF(C80="","Missing title",IF(D80="","Missing type",IF(E80="","Missing availability",IF(H80="","Missing offer",IF(L80="","Missing course URL",IF(ISERROR(SEARCH("https://www.keele.ac.uk/",L80)),"Non-Keele URL",IF(AND(D80="Foundation year",ISERROR(SEARCH("#foundationyear",L80))),"FY URL missing #foundationyear",IF(M80="","Missing display status",IF(N80="","Missing review date",IF(O80="","Missing owner",IF(P80="","Missing change note","OK")))))))))))))</x:f>
        <x:v>OK</x:v>
      </x:c>
    </x:row>
    <x:row r="81">
      <x:c r="A81" s="33" t="str">
        <x:v>2026-civilengineering-FY</x:v>
      </x:c>
      <x:c r="B81" s="37" t="n">
        <x:v>2026</x:v>
      </x:c>
      <x:c r="C81" s="35" t="str">
        <x:v>Civil Engineering with Foundation Year</x:v>
      </x:c>
      <x:c r="D81" s="33" t="str">
        <x:v>Foundation year</x:v>
      </x:c>
      <x:c r="E81" s="33" t="str">
        <x:v>Vacancies</x:v>
      </x:c>
      <x:c r="F81" s="33" t="str"/>
      <x:c r="G81" s="33" t="str"/>
      <x:c r="H81" s="35" t="str">
        <x:v>Course-specific</x:v>
      </x:c>
      <x:c r="I81" s="35" t="str">
        <x:v>No</x:v>
      </x:c>
      <x:c r="J81" s="35" t="str">
        <x:v>Foundation Year requirements vary by course. View the full course details or call 01782 491120 to discuss your qualifications.</x:v>
      </x:c>
      <x:c r="K81" s="35" t="str">
        <x:v>https://www.keele.ac.uk/clearing/entry-requirements/</x:v>
      </x:c>
      <x:c r="L81" s="35" t="str">
        <x:v>https://www.keele.ac.uk/study/undergraduate-2026/undergraduatecourses/civilengineering/#foundationyear</x:v>
      </x:c>
      <x:c r="M81" s="33" t="str">
        <x:v>Yes</x:v>
      </x:c>
      <x:c r="N81" s="38" t="n">
        <x:v>46195</x:v>
      </x:c>
      <x:c r="O81" s="35" t="str">
        <x:v>Clearing content team</x:v>
      </x:c>
      <x:c r="P81" s="35" t="str">
        <x:v>Initial import from Clearing vacancies and ER page for 2026.docx</x:v>
      </x:c>
      <x:c r="Q81" s="36" t="str">
        <x:f>IF(A81="","Missing ID",IF(COUNTIF($A$5:$A$1000,A81)&gt;1,"Duplicate ID",IF(C81="","Missing title",IF(D81="","Missing type",IF(E81="","Missing availability",IF(H81="","Missing offer",IF(L81="","Missing course URL",IF(ISERROR(SEARCH("https://www.keele.ac.uk/",L81)),"Non-Keele URL",IF(AND(D81="Foundation year",ISERROR(SEARCH("#foundationyear",L81))),"FY URL missing #foundationyear",IF(M81="","Missing display status",IF(N81="","Missing review date",IF(O81="","Missing owner",IF(P81="","Missing change note","OK")))))))))))))</x:f>
        <x:v>OK</x:v>
      </x:c>
    </x:row>
    <x:row r="82">
      <x:c r="A82" s="33" t="str">
        <x:v>2026-H201-UG</x:v>
      </x:c>
      <x:c r="B82" s="37" t="n">
        <x:v>2026</x:v>
      </x:c>
      <x:c r="C82" s="35" t="str">
        <x:v>Civil Engineering with Integrated Master's</x:v>
      </x:c>
      <x:c r="D82" s="33" t="str">
        <x:v>Undergraduate</x:v>
      </x:c>
      <x:c r="E82" s="33" t="str">
        <x:v>Vacancies</x:v>
      </x:c>
      <x:c r="F82" s="33" t="str">
        <x:v>H201</x:v>
      </x:c>
      <x:c r="G82" s="33" t="str">
        <x:v>MEng</x:v>
      </x:c>
      <x:c r="H82" s="35" t="str">
        <x:v>64 UCAS tariff points</x:v>
      </x:c>
      <x:c r="I82" s="35" t="str">
        <x:v>Yes</x:v>
      </x:c>
      <x:c r="J82" s="35" t="str">
        <x:v>This course has additional subject-specific requirements. View the full course details or contact Admissions before applying.</x:v>
      </x:c>
      <x:c r="K82" s="35" t="str">
        <x:v>https://www.keele.ac.uk/clearing/entry-requirements/</x:v>
      </x:c>
      <x:c r="L82" s="35" t="str">
        <x:v>https://www.keele.ac.uk/study/undergraduate-2026/undergraduatecourses/civilengineeringwithintegratedmasters/</x:v>
      </x:c>
      <x:c r="M82" s="33" t="str">
        <x:v>Yes</x:v>
      </x:c>
      <x:c r="N82" s="38" t="n">
        <x:v>46195</x:v>
      </x:c>
      <x:c r="O82" s="35" t="str">
        <x:v>Clearing content team</x:v>
      </x:c>
      <x:c r="P82" s="35" t="str">
        <x:v>Initial import from Clearing vacancies and ER page for 2026.docx</x:v>
      </x:c>
      <x:c r="Q82" s="36" t="str">
        <x:f>IF(A82="","Missing ID",IF(COUNTIF($A$5:$A$1000,A82)&gt;1,"Duplicate ID",IF(C82="","Missing title",IF(D82="","Missing type",IF(E82="","Missing availability",IF(H82="","Missing offer",IF(L82="","Missing course URL",IF(ISERROR(SEARCH("https://www.keele.ac.uk/",L82)),"Non-Keele URL",IF(AND(D82="Foundation year",ISERROR(SEARCH("#foundationyear",L82))),"FY URL missing #foundationyear",IF(M82="","Missing display status",IF(N82="","Missing review date",IF(O82="","Missing owner",IF(P82="","Missing change note","OK")))))))))))))</x:f>
        <x:v>OK</x:v>
      </x:c>
    </x:row>
    <x:row r="83">
      <x:c r="A83" s="33" t="str">
        <x:v>2026-civilengineeringwithintegratedmasters-FY</x:v>
      </x:c>
      <x:c r="B83" s="37" t="n">
        <x:v>2026</x:v>
      </x:c>
      <x:c r="C83" s="35" t="str">
        <x:v>Civil Engineering with Integrated Master's with Foundation Year</x:v>
      </x:c>
      <x:c r="D83" s="33" t="str">
        <x:v>Foundation year</x:v>
      </x:c>
      <x:c r="E83" s="33" t="str">
        <x:v>Vacancies</x:v>
      </x:c>
      <x:c r="F83" s="33" t="str"/>
      <x:c r="G83" s="33" t="str"/>
      <x:c r="H83" s="35" t="str">
        <x:v>Course-specific</x:v>
      </x:c>
      <x:c r="I83" s="35" t="str">
        <x:v>No</x:v>
      </x:c>
      <x:c r="J83" s="35" t="str">
        <x:v>Foundation Year requirements vary by course. View the full course details or call 01782 491120 to discuss your qualifications.</x:v>
      </x:c>
      <x:c r="K83" s="35" t="str">
        <x:v>https://www.keele.ac.uk/clearing/entry-requirements/</x:v>
      </x:c>
      <x:c r="L83" s="35" t="str">
        <x:v>https://www.keele.ac.uk/study/undergraduate-2026/undergraduatecourses/civilengineeringwithintegratedmasters/#foundationyear</x:v>
      </x:c>
      <x:c r="M83" s="33" t="str">
        <x:v>Yes</x:v>
      </x:c>
      <x:c r="N83" s="38" t="n">
        <x:v>46195</x:v>
      </x:c>
      <x:c r="O83" s="35" t="str">
        <x:v>Clearing content team</x:v>
      </x:c>
      <x:c r="P83" s="35" t="str">
        <x:v>Initial import from Clearing vacancies and ER page for 2026.docx</x:v>
      </x:c>
      <x:c r="Q83" s="36" t="str">
        <x:f>IF(A83="","Missing ID",IF(COUNTIF($A$5:$A$1000,A83)&gt;1,"Duplicate ID",IF(C83="","Missing title",IF(D83="","Missing type",IF(E83="","Missing availability",IF(H83="","Missing offer",IF(L83="","Missing course URL",IF(ISERROR(SEARCH("https://www.keele.ac.uk/",L83)),"Non-Keele URL",IF(AND(D83="Foundation year",ISERROR(SEARCH("#foundationyear",L83))),"FY URL missing #foundationyear",IF(M83="","Missing display status",IF(N83="","Missing review date",IF(O83="","Missing owner",IF(P83="","Missing change note","OK")))))))))))))</x:f>
        <x:v>OK</x:v>
      </x:c>
    </x:row>
    <x:row r="84">
      <x:c r="A84" s="33" t="str">
        <x:v>2026-G400-UG</x:v>
      </x:c>
      <x:c r="B84" s="37" t="n">
        <x:v>2026</x:v>
      </x:c>
      <x:c r="C84" s="35" t="str">
        <x:v>Computer Science</x:v>
      </x:c>
      <x:c r="D84" s="33" t="str">
        <x:v>Undergraduate</x:v>
      </x:c>
      <x:c r="E84" s="33" t="str">
        <x:v>Vacancies</x:v>
      </x:c>
      <x:c r="F84" s="33" t="str">
        <x:v>G400</x:v>
      </x:c>
      <x:c r="G84" s="33" t="str">
        <x:v>BSc (Hons)</x:v>
      </x:c>
      <x:c r="H84" s="35" t="str">
        <x:v>64 UCAS tariff points</x:v>
      </x:c>
      <x:c r="I84" s="35" t="str">
        <x:v>No</x:v>
      </x:c>
      <x:c r="J84" s="35" t="str">
        <x:v>Most undergraduate courses require GCSE English Language at grade 4/C or equivalent. Some courses also require GCSE Mathematics at grade 4/C or equivalent.</x:v>
      </x:c>
      <x:c r="K84" s="35" t="str">
        <x:v>https://www.keele.ac.uk/clearing/entry-requirements/</x:v>
      </x:c>
      <x:c r="L84" s="35" t="str">
        <x:v>https://www.keele.ac.uk/study/undergraduate-2026/undergraduatecourses/computerscience/</x:v>
      </x:c>
      <x:c r="M84" s="33" t="str">
        <x:v>Yes</x:v>
      </x:c>
      <x:c r="N84" s="38" t="n">
        <x:v>46195</x:v>
      </x:c>
      <x:c r="O84" s="35" t="str">
        <x:v>Clearing content team</x:v>
      </x:c>
      <x:c r="P84" s="35" t="str">
        <x:v>Initial import from Clearing vacancies and ER page for 2026.docx</x:v>
      </x:c>
      <x:c r="Q84" s="36" t="str">
        <x:f>IF(A84="","Missing ID",IF(COUNTIF($A$5:$A$1000,A84)&gt;1,"Duplicate ID",IF(C84="","Missing title",IF(D84="","Missing type",IF(E84="","Missing availability",IF(H84="","Missing offer",IF(L84="","Missing course URL",IF(ISERROR(SEARCH("https://www.keele.ac.uk/",L84)),"Non-Keele URL",IF(AND(D84="Foundation year",ISERROR(SEARCH("#foundationyear",L84))),"FY URL missing #foundationyear",IF(M84="","Missing display status",IF(N84="","Missing review date",IF(O84="","Missing owner",IF(P84="","Missing change note","OK")))))))))))))</x:f>
        <x:v>OK</x:v>
      </x:c>
    </x:row>
    <x:row r="85">
      <x:c r="A85" s="33" t="str">
        <x:v>2026-GG14-UG</x:v>
      </x:c>
      <x:c r="B85" s="37" t="n">
        <x:v>2026</x:v>
      </x:c>
      <x:c r="C85" s="35" t="str">
        <x:v>Computer Science and Mathematics</x:v>
      </x:c>
      <x:c r="D85" s="33" t="str">
        <x:v>Undergraduate</x:v>
      </x:c>
      <x:c r="E85" s="33" t="str">
        <x:v>Vacancies</x:v>
      </x:c>
      <x:c r="F85" s="33" t="str">
        <x:v>GG14</x:v>
      </x:c>
      <x:c r="G85" s="33" t="str">
        <x:v>BSc (Hons)</x:v>
      </x:c>
      <x:c r="H85" s="35" t="str">
        <x:v>64 UCAS tariff points</x:v>
      </x:c>
      <x:c r="I85" s="35" t="str">
        <x:v>Yes</x:v>
      </x:c>
      <x:c r="J85" s="35" t="str">
        <x:v>This course has additional subject-specific requirements. View the full course details or contact Admissions before applying.</x:v>
      </x:c>
      <x:c r="K85" s="35" t="str">
        <x:v>https://www.keele.ac.uk/clearing/entry-requirements/</x:v>
      </x:c>
      <x:c r="L85" s="35" t="str">
        <x:v>https://www.keele.ac.uk/study/undergraduate-2026/undergraduatecourses/computerscienceandmathematics/</x:v>
      </x:c>
      <x:c r="M85" s="33" t="str">
        <x:v>Yes</x:v>
      </x:c>
      <x:c r="N85" s="38" t="n">
        <x:v>46195</x:v>
      </x:c>
      <x:c r="O85" s="35" t="str">
        <x:v>Clearing content team</x:v>
      </x:c>
      <x:c r="P85" s="35" t="str">
        <x:v>Initial import from Clearing vacancies and ER page for 2026.docx</x:v>
      </x:c>
      <x:c r="Q85" s="36" t="str">
        <x:f>IF(A85="","Missing ID",IF(COUNTIF($A$5:$A$1000,A85)&gt;1,"Duplicate ID",IF(C85="","Missing title",IF(D85="","Missing type",IF(E85="","Missing availability",IF(H85="","Missing offer",IF(L85="","Missing course URL",IF(ISERROR(SEARCH("https://www.keele.ac.uk/",L85)),"Non-Keele URL",IF(AND(D85="Foundation year",ISERROR(SEARCH("#foundationyear",L85))),"FY URL missing #foundationyear",IF(M85="","Missing display status",IF(N85="","Missing review date",IF(O85="","Missing owner",IF(P85="","Missing change note","OK")))))))))))))</x:f>
        <x:v>OK</x:v>
      </x:c>
    </x:row>
    <x:row r="86">
      <x:c r="A86" s="33" t="str">
        <x:v>2026-computerscienceandmathematics-FY</x:v>
      </x:c>
      <x:c r="B86" s="37" t="n">
        <x:v>2026</x:v>
      </x:c>
      <x:c r="C86" s="35" t="str">
        <x:v>Computer Science and Mathematics with Foundation Year</x:v>
      </x:c>
      <x:c r="D86" s="33" t="str">
        <x:v>Foundation year</x:v>
      </x:c>
      <x:c r="E86" s="33" t="str">
        <x:v>Vacancies</x:v>
      </x:c>
      <x:c r="F86" s="33" t="str"/>
      <x:c r="G86" s="33" t="str"/>
      <x:c r="H86" s="35" t="str">
        <x:v>Course-specific</x:v>
      </x:c>
      <x:c r="I86" s="35" t="str">
        <x:v>No</x:v>
      </x:c>
      <x:c r="J86" s="35" t="str">
        <x:v>Foundation Year requirements vary by course. View the full course details or call 01782 491120 to discuss your qualifications.</x:v>
      </x:c>
      <x:c r="K86" s="35" t="str">
        <x:v>https://www.keele.ac.uk/clearing/entry-requirements/</x:v>
      </x:c>
      <x:c r="L86" s="35" t="str">
        <x:v>https://www.keele.ac.uk/study/undergraduate-2026/undergraduatecourses/computerscienceandmathematics/#foundationyear</x:v>
      </x:c>
      <x:c r="M86" s="33" t="str">
        <x:v>Yes</x:v>
      </x:c>
      <x:c r="N86" s="38" t="n">
        <x:v>46195</x:v>
      </x:c>
      <x:c r="O86" s="35" t="str">
        <x:v>Clearing content team</x:v>
      </x:c>
      <x:c r="P86" s="35" t="str">
        <x:v>Initial import from Clearing vacancies and ER page for 2026.docx</x:v>
      </x:c>
      <x:c r="Q86" s="36" t="str">
        <x:f>IF(A86="","Missing ID",IF(COUNTIF($A$5:$A$1000,A86)&gt;1,"Duplicate ID",IF(C86="","Missing title",IF(D86="","Missing type",IF(E86="","Missing availability",IF(H86="","Missing offer",IF(L86="","Missing course URL",IF(ISERROR(SEARCH("https://www.keele.ac.uk/",L86)),"Non-Keele URL",IF(AND(D86="Foundation year",ISERROR(SEARCH("#foundationyear",L86))),"FY URL missing #foundationyear",IF(M86="","Missing display status",IF(N86="","Missing review date",IF(O86="","Missing owner",IF(P86="","Missing change note","OK")))))))))))))</x:f>
        <x:v>OK</x:v>
      </x:c>
    </x:row>
    <x:row r="87">
      <x:c r="A87" s="33" t="str">
        <x:v>2026-GWK4-UG</x:v>
      </x:c>
      <x:c r="B87" s="37" t="n">
        <x:v>2026</x:v>
      </x:c>
      <x:c r="C87" s="35" t="str">
        <x:v>Computer Science and Music Production</x:v>
      </x:c>
      <x:c r="D87" s="33" t="str">
        <x:v>Undergraduate</x:v>
      </x:c>
      <x:c r="E87" s="33" t="str">
        <x:v>Vacancies</x:v>
      </x:c>
      <x:c r="F87" s="33" t="str">
        <x:v>GWK4</x:v>
      </x:c>
      <x:c r="G87" s="33" t="str">
        <x:v>BA (Hons)</x:v>
      </x:c>
      <x:c r="H87" s="35" t="str">
        <x:v>64 UCAS tariff points</x:v>
      </x:c>
      <x:c r="I87" s="35" t="str">
        <x:v>No</x:v>
      </x:c>
      <x:c r="J87" s="35" t="str">
        <x:v>Most undergraduate courses require GCSE English Language at grade 4/C or equivalent. Some courses also require GCSE Mathematics at grade 4/C or equivalent.</x:v>
      </x:c>
      <x:c r="K87" s="35" t="str">
        <x:v>https://www.keele.ac.uk/clearing/entry-requirements/</x:v>
      </x:c>
      <x:c r="L87" s="35" t="str">
        <x:v>https://www.keele.ac.uk/study/undergraduate-2026/undergraduatecourses/computerscienceandmusicproduction/</x:v>
      </x:c>
      <x:c r="M87" s="33" t="str">
        <x:v>Yes</x:v>
      </x:c>
      <x:c r="N87" s="38" t="n">
        <x:v>46195</x:v>
      </x:c>
      <x:c r="O87" s="35" t="str">
        <x:v>Clearing content team</x:v>
      </x:c>
      <x:c r="P87" s="35" t="str">
        <x:v>Initial import from Clearing vacancies and ER page for 2026.docx</x:v>
      </x:c>
      <x:c r="Q87" s="36" t="str">
        <x:f>IF(A87="","Missing ID",IF(COUNTIF($A$5:$A$1000,A87)&gt;1,"Duplicate ID",IF(C87="","Missing title",IF(D87="","Missing type",IF(E87="","Missing availability",IF(H87="","Missing offer",IF(L87="","Missing course URL",IF(ISERROR(SEARCH("https://www.keele.ac.uk/",L87)),"Non-Keele URL",IF(AND(D87="Foundation year",ISERROR(SEARCH("#foundationyear",L87))),"FY URL missing #foundationyear",IF(M87="","Missing display status",IF(N87="","Missing review date",IF(O87="","Missing owner",IF(P87="","Missing change note","OK")))))))))))))</x:f>
        <x:v>OK</x:v>
      </x:c>
    </x:row>
    <x:row r="88">
      <x:c r="A88" s="33" t="str">
        <x:v>2026-computerscienceandmusicproduction-FY</x:v>
      </x:c>
      <x:c r="B88" s="37" t="n">
        <x:v>2026</x:v>
      </x:c>
      <x:c r="C88" s="35" t="str">
        <x:v>Computer Science and Music Production with Foundation Year</x:v>
      </x:c>
      <x:c r="D88" s="33" t="str">
        <x:v>Foundation year</x:v>
      </x:c>
      <x:c r="E88" s="33" t="str">
        <x:v>Vacancies</x:v>
      </x:c>
      <x:c r="F88" s="33" t="str"/>
      <x:c r="G88" s="33" t="str"/>
      <x:c r="H88" s="35" t="str">
        <x:v>Course-specific</x:v>
      </x:c>
      <x:c r="I88" s="35" t="str">
        <x:v>No</x:v>
      </x:c>
      <x:c r="J88" s="35" t="str">
        <x:v>Foundation Year requirements vary by course. View the full course details or call 01782 491120 to discuss your qualifications.</x:v>
      </x:c>
      <x:c r="K88" s="35" t="str">
        <x:v>https://www.keele.ac.uk/clearing/entry-requirements/</x:v>
      </x:c>
      <x:c r="L88" s="35" t="str">
        <x:v>https://www.keele.ac.uk/study/undergraduate-2026/undergraduatecourses/computerscienceandmusicproduction/#foundationyear</x:v>
      </x:c>
      <x:c r="M88" s="33" t="str">
        <x:v>Yes</x:v>
      </x:c>
      <x:c r="N88" s="38" t="n">
        <x:v>46195</x:v>
      </x:c>
      <x:c r="O88" s="35" t="str">
        <x:v>Clearing content team</x:v>
      </x:c>
      <x:c r="P88" s="35" t="str">
        <x:v>Initial import from Clearing vacancies and ER page for 2026.docx</x:v>
      </x:c>
      <x:c r="Q88" s="36" t="str">
        <x:f>IF(A88="","Missing ID",IF(COUNTIF($A$5:$A$1000,A88)&gt;1,"Duplicate ID",IF(C88="","Missing title",IF(D88="","Missing type",IF(E88="","Missing availability",IF(H88="","Missing offer",IF(L88="","Missing course URL",IF(ISERROR(SEARCH("https://www.keele.ac.uk/",L88)),"Non-Keele URL",IF(AND(D88="Foundation year",ISERROR(SEARCH("#foundationyear",L88))),"FY URL missing #foundationyear",IF(M88="","Missing display status",IF(N88="","Missing review date",IF(O88="","Missing owner",IF(P88="","Missing change note","OK")))))))))))))</x:f>
        <x:v>OK</x:v>
      </x:c>
    </x:row>
    <x:row r="89">
      <x:c r="A89" s="33" t="str">
        <x:v>2026-computerscienceartificialintelligence-UG</x:v>
      </x:c>
      <x:c r="B89" s="37" t="n">
        <x:v>2026</x:v>
      </x:c>
      <x:c r="C89" s="35" t="str">
        <x:v>Computer Science with Artificial Intelligence</x:v>
      </x:c>
      <x:c r="D89" s="33" t="str">
        <x:v>Undergraduate</x:v>
      </x:c>
      <x:c r="E89" s="33" t="str">
        <x:v>Vacancies</x:v>
      </x:c>
      <x:c r="F89" s="33" t="str"/>
      <x:c r="G89" s="33" t="str">
        <x:v>BSc (Hons)</x:v>
      </x:c>
      <x:c r="H89" s="35" t="str">
        <x:v>64 UCAS tariff points</x:v>
      </x:c>
      <x:c r="I89" s="35" t="str">
        <x:v>No</x:v>
      </x:c>
      <x:c r="J89" s="35" t="str">
        <x:v>Most undergraduate courses require GCSE English Language at grade 4/C or equivalent. Some courses also require GCSE Mathematics at grade 4/C or equivalent.</x:v>
      </x:c>
      <x:c r="K89" s="35" t="str">
        <x:v>https://www.keele.ac.uk/clearing/entry-requirements/</x:v>
      </x:c>
      <x:c r="L89" s="35" t="str">
        <x:v>https://www.keele.ac.uk/study/undergraduate-2026/undergraduatecourses/computerscienceartificialintelligence/</x:v>
      </x:c>
      <x:c r="M89" s="33" t="str">
        <x:v>Yes</x:v>
      </x:c>
      <x:c r="N89" s="38" t="n">
        <x:v>46195</x:v>
      </x:c>
      <x:c r="O89" s="35" t="str">
        <x:v>Clearing content team</x:v>
      </x:c>
      <x:c r="P89" s="35" t="str">
        <x:v>Initial import from Clearing vacancies and ER page for 2026.docx</x:v>
      </x:c>
      <x:c r="Q89" s="36" t="str">
        <x:f>IF(A89="","Missing ID",IF(COUNTIF($A$5:$A$1000,A89)&gt;1,"Duplicate ID",IF(C89="","Missing title",IF(D89="","Missing type",IF(E89="","Missing availability",IF(H89="","Missing offer",IF(L89="","Missing course URL",IF(ISERROR(SEARCH("https://www.keele.ac.uk/",L89)),"Non-Keele URL",IF(AND(D89="Foundation year",ISERROR(SEARCH("#foundationyear",L89))),"FY URL missing #foundationyear",IF(M89="","Missing display status",IF(N89="","Missing review date",IF(O89="","Missing owner",IF(P89="","Missing change note","OK")))))))))))))</x:f>
        <x:v>OK</x:v>
      </x:c>
    </x:row>
    <x:row r="90">
      <x:c r="A90" s="33" t="str">
        <x:v>2026-computersciencewithartificialintelligence-FY</x:v>
      </x:c>
      <x:c r="B90" s="37" t="n">
        <x:v>2026</x:v>
      </x:c>
      <x:c r="C90" s="35" t="str">
        <x:v>Computer Science with Artificial Intelligence with Foundation Year</x:v>
      </x:c>
      <x:c r="D90" s="33" t="str">
        <x:v>Foundation year</x:v>
      </x:c>
      <x:c r="E90" s="33" t="str">
        <x:v>Vacancies</x:v>
      </x:c>
      <x:c r="F90" s="33" t="str"/>
      <x:c r="G90" s="33" t="str"/>
      <x:c r="H90" s="35" t="str">
        <x:v>Course-specific</x:v>
      </x:c>
      <x:c r="I90" s="35" t="str">
        <x:v>No</x:v>
      </x:c>
      <x:c r="J90" s="35" t="str">
        <x:v>Foundation Year requirements vary by course. View the full course details or call 01782 491120 to discuss your qualifications.</x:v>
      </x:c>
      <x:c r="K90" s="35" t="str">
        <x:v>https://www.keele.ac.uk/clearing/entry-requirements/</x:v>
      </x:c>
      <x:c r="L90" s="35" t="str">
        <x:v>https://www.keele.ac.uk/study/undergraduate-2026/undergraduatecourses/computersciencewithartificialintelligence/#foundationyear</x:v>
      </x:c>
      <x:c r="M90" s="33" t="str">
        <x:v>Yes</x:v>
      </x:c>
      <x:c r="N90" s="38" t="n">
        <x:v>46195</x:v>
      </x:c>
      <x:c r="O90" s="35" t="str">
        <x:v>Clearing content team</x:v>
      </x:c>
      <x:c r="P90" s="35" t="str">
        <x:v>Initial import from Clearing vacancies and ER page for 2026.docx</x:v>
      </x:c>
      <x:c r="Q90" s="36" t="str">
        <x:f>IF(A90="","Missing ID",IF(COUNTIF($A$5:$A$1000,A90)&gt;1,"Duplicate ID",IF(C90="","Missing title",IF(D90="","Missing type",IF(E90="","Missing availability",IF(H90="","Missing offer",IF(L90="","Missing course URL",IF(ISERROR(SEARCH("https://www.keele.ac.uk/",L90)),"Non-Keele URL",IF(AND(D90="Foundation year",ISERROR(SEARCH("#foundationyear",L90))),"FY URL missing #foundationyear",IF(M90="","Missing display status",IF(N90="","Missing review date",IF(O90="","Missing owner",IF(P90="","Missing change note","OK")))))))))))))</x:f>
        <x:v>OK</x:v>
      </x:c>
    </x:row>
    <x:row r="91">
      <x:c r="A91" s="33" t="str">
        <x:v>2026-computersciencedigitalforensics-UG</x:v>
      </x:c>
      <x:c r="B91" s="37" t="n">
        <x:v>2026</x:v>
      </x:c>
      <x:c r="C91" s="35" t="str">
        <x:v>Computer Science with Digital Forensics</x:v>
      </x:c>
      <x:c r="D91" s="33" t="str">
        <x:v>Undergraduate</x:v>
      </x:c>
      <x:c r="E91" s="33" t="str">
        <x:v>Vacancies</x:v>
      </x:c>
      <x:c r="F91" s="33" t="str"/>
      <x:c r="G91" s="33" t="str">
        <x:v>BSc (Hons)</x:v>
      </x:c>
      <x:c r="H91" s="35" t="str">
        <x:v>64 UCAS tariff points</x:v>
      </x:c>
      <x:c r="I91" s="35" t="str">
        <x:v>No</x:v>
      </x:c>
      <x:c r="J91" s="35" t="str">
        <x:v>Most undergraduate courses require GCSE English Language at grade 4/C or equivalent. Some courses also require GCSE Mathematics at grade 4/C or equivalent.</x:v>
      </x:c>
      <x:c r="K91" s="35" t="str">
        <x:v>https://www.keele.ac.uk/clearing/entry-requirements/</x:v>
      </x:c>
      <x:c r="L91" s="35" t="str">
        <x:v>https://www.keele.ac.uk/study/undergraduate-2026/undergraduatecourses/computersciencedigitalforensics/</x:v>
      </x:c>
      <x:c r="M91" s="33" t="str">
        <x:v>Yes</x:v>
      </x:c>
      <x:c r="N91" s="38" t="n">
        <x:v>46195</x:v>
      </x:c>
      <x:c r="O91" s="35" t="str">
        <x:v>Clearing content team</x:v>
      </x:c>
      <x:c r="P91" s="35" t="str">
        <x:v>Initial import from Clearing vacancies and ER page for 2026.docx</x:v>
      </x:c>
      <x:c r="Q91" s="36" t="str">
        <x:f>IF(A91="","Missing ID",IF(COUNTIF($A$5:$A$1000,A91)&gt;1,"Duplicate ID",IF(C91="","Missing title",IF(D91="","Missing type",IF(E91="","Missing availability",IF(H91="","Missing offer",IF(L91="","Missing course URL",IF(ISERROR(SEARCH("https://www.keele.ac.uk/",L91)),"Non-Keele URL",IF(AND(D91="Foundation year",ISERROR(SEARCH("#foundationyear",L91))),"FY URL missing #foundationyear",IF(M91="","Missing display status",IF(N91="","Missing review date",IF(O91="","Missing owner",IF(P91="","Missing change note","OK")))))))))))))</x:f>
        <x:v>OK</x:v>
      </x:c>
    </x:row>
    <x:row r="92">
      <x:c r="A92" s="33" t="str">
        <x:v>2026-computersciencewithdigitalforensics-FY</x:v>
      </x:c>
      <x:c r="B92" s="37" t="n">
        <x:v>2026</x:v>
      </x:c>
      <x:c r="C92" s="35" t="str">
        <x:v>Computer Science with Digital Forensics with Foundation Year</x:v>
      </x:c>
      <x:c r="D92" s="33" t="str">
        <x:v>Foundation year</x:v>
      </x:c>
      <x:c r="E92" s="33" t="str">
        <x:v>Vacancies</x:v>
      </x:c>
      <x:c r="F92" s="33" t="str"/>
      <x:c r="G92" s="33" t="str"/>
      <x:c r="H92" s="35" t="str">
        <x:v>Course-specific</x:v>
      </x:c>
      <x:c r="I92" s="35" t="str">
        <x:v>No</x:v>
      </x:c>
      <x:c r="J92" s="35" t="str">
        <x:v>Foundation Year requirements vary by course. View the full course details or call 01782 491120 to discuss your qualifications.</x:v>
      </x:c>
      <x:c r="K92" s="35" t="str">
        <x:v>https://www.keele.ac.uk/clearing/entry-requirements/</x:v>
      </x:c>
      <x:c r="L92" s="35" t="str">
        <x:v>https://www.keele.ac.uk/study/undergraduate-2026/undergraduatecourses/computersciencewithdigitalforensics/#foundationyear</x:v>
      </x:c>
      <x:c r="M92" s="33" t="str">
        <x:v>Yes</x:v>
      </x:c>
      <x:c r="N92" s="38" t="n">
        <x:v>46195</x:v>
      </x:c>
      <x:c r="O92" s="35" t="str">
        <x:v>Clearing content team</x:v>
      </x:c>
      <x:c r="P92" s="35" t="str">
        <x:v>Initial import from Clearing vacancies and ER page for 2026.docx</x:v>
      </x:c>
      <x:c r="Q92" s="36" t="str">
        <x:f>IF(A92="","Missing ID",IF(COUNTIF($A$5:$A$1000,A92)&gt;1,"Duplicate ID",IF(C92="","Missing title",IF(D92="","Missing type",IF(E92="","Missing availability",IF(H92="","Missing offer",IF(L92="","Missing course URL",IF(ISERROR(SEARCH("https://www.keele.ac.uk/",L92)),"Non-Keele URL",IF(AND(D92="Foundation year",ISERROR(SEARCH("#foundationyear",L92))),"FY URL missing #foundationyear",IF(M92="","Missing display status",IF(N92="","Missing review date",IF(O92="","Missing owner",IF(P92="","Missing change note","OK")))))))))))))</x:f>
        <x:v>OK</x:v>
      </x:c>
    </x:row>
    <x:row r="93">
      <x:c r="A93" s="33" t="str">
        <x:v>2026-computerscience-FY</x:v>
      </x:c>
      <x:c r="B93" s="37" t="n">
        <x:v>2026</x:v>
      </x:c>
      <x:c r="C93" s="35" t="str">
        <x:v>Computer Science with Foundation Year</x:v>
      </x:c>
      <x:c r="D93" s="33" t="str">
        <x:v>Foundation year</x:v>
      </x:c>
      <x:c r="E93" s="33" t="str">
        <x:v>Vacancies</x:v>
      </x:c>
      <x:c r="F93" s="33" t="str"/>
      <x:c r="G93" s="33" t="str"/>
      <x:c r="H93" s="35" t="str">
        <x:v>Course-specific</x:v>
      </x:c>
      <x:c r="I93" s="35" t="str">
        <x:v>No</x:v>
      </x:c>
      <x:c r="J93" s="35" t="str">
        <x:v>Foundation Year requirements vary by course. View the full course details or call 01782 491120 to discuss your qualifications.</x:v>
      </x:c>
      <x:c r="K93" s="35" t="str">
        <x:v>https://www.keele.ac.uk/clearing/entry-requirements/</x:v>
      </x:c>
      <x:c r="L93" s="35" t="str">
        <x:v>https://www.keele.ac.uk/study/undergraduate-2026/undergraduatecourses/computerscience/#foundationyear</x:v>
      </x:c>
      <x:c r="M93" s="33" t="str">
        <x:v>Yes</x:v>
      </x:c>
      <x:c r="N93" s="38" t="n">
        <x:v>46195</x:v>
      </x:c>
      <x:c r="O93" s="35" t="str">
        <x:v>Clearing content team</x:v>
      </x:c>
      <x:c r="P93" s="35" t="str">
        <x:v>Initial import from Clearing vacancies and ER page for 2026.docx</x:v>
      </x:c>
      <x:c r="Q93" s="36" t="str">
        <x:f>IF(A93="","Missing ID",IF(COUNTIF($A$5:$A$1000,A93)&gt;1,"Duplicate ID",IF(C93="","Missing title",IF(D93="","Missing type",IF(E93="","Missing availability",IF(H93="","Missing offer",IF(L93="","Missing course URL",IF(ISERROR(SEARCH("https://www.keele.ac.uk/",L93)),"Non-Keele URL",IF(AND(D93="Foundation year",ISERROR(SEARCH("#foundationyear",L93))),"FY URL missing #foundationyear",IF(M93="","Missing display status",IF(N93="","Missing review date",IF(O93="","Missing owner",IF(P93="","Missing change note","OK")))))))))))))</x:f>
        <x:v>OK</x:v>
      </x:c>
    </x:row>
    <x:row r="94">
      <x:c r="A94" s="33" t="str">
        <x:v>2026-G402-UG</x:v>
      </x:c>
      <x:c r="B94" s="37" t="n">
        <x:v>2026</x:v>
      </x:c>
      <x:c r="C94" s="35" t="str">
        <x:v>Computer Science with Integrated Master's</x:v>
      </x:c>
      <x:c r="D94" s="33" t="str">
        <x:v>Undergraduate</x:v>
      </x:c>
      <x:c r="E94" s="33" t="str">
        <x:v>Vacancies</x:v>
      </x:c>
      <x:c r="F94" s="33" t="str">
        <x:v>G402</x:v>
      </x:c>
      <x:c r="G94" s="33" t="str">
        <x:v>MCOMP</x:v>
      </x:c>
      <x:c r="H94" s="35" t="str">
        <x:v>64 UCAS tariff points</x:v>
      </x:c>
      <x:c r="I94" s="35" t="str">
        <x:v>No</x:v>
      </x:c>
      <x:c r="J94" s="35" t="str">
        <x:v>Most undergraduate courses require GCSE English Language at grade 4/C or equivalent. Some courses also require GCSE Mathematics at grade 4/C or equivalent.</x:v>
      </x:c>
      <x:c r="K94" s="35" t="str">
        <x:v>https://www.keele.ac.uk/clearing/entry-requirements/</x:v>
      </x:c>
      <x:c r="L94" s="35" t="str">
        <x:v>https://www.keele.ac.uk/study/undergraduate-2026/undergraduatecourses/computersciencewithintegratedmasters/</x:v>
      </x:c>
      <x:c r="M94" s="33" t="str">
        <x:v>Yes</x:v>
      </x:c>
      <x:c r="N94" s="38" t="n">
        <x:v>46195</x:v>
      </x:c>
      <x:c r="O94" s="35" t="str">
        <x:v>Clearing content team</x:v>
      </x:c>
      <x:c r="P94" s="35" t="str">
        <x:v>Initial import from Clearing vacancies and ER page for 2026.docx</x:v>
      </x:c>
      <x:c r="Q94" s="36" t="str">
        <x:f>IF(A94="","Missing ID",IF(COUNTIF($A$5:$A$1000,A94)&gt;1,"Duplicate ID",IF(C94="","Missing title",IF(D94="","Missing type",IF(E94="","Missing availability",IF(H94="","Missing offer",IF(L94="","Missing course URL",IF(ISERROR(SEARCH("https://www.keele.ac.uk/",L94)),"Non-Keele URL",IF(AND(D94="Foundation year",ISERROR(SEARCH("#foundationyear",L94))),"FY URL missing #foundationyear",IF(M94="","Missing display status",IF(N94="","Missing review date",IF(O94="","Missing owner",IF(P94="","Missing change note","OK")))))))))))))</x:f>
        <x:v>OK</x:v>
      </x:c>
    </x:row>
    <x:row r="95">
      <x:c r="A95" s="33" t="str">
        <x:v>2026-computersciencewithintegratedmasters-FY</x:v>
      </x:c>
      <x:c r="B95" s="37" t="n">
        <x:v>2026</x:v>
      </x:c>
      <x:c r="C95" s="35" t="str">
        <x:v>Computer Science with Integrated Master's with Foundation Year</x:v>
      </x:c>
      <x:c r="D95" s="33" t="str">
        <x:v>Foundation year</x:v>
      </x:c>
      <x:c r="E95" s="33" t="str">
        <x:v>Vacancies</x:v>
      </x:c>
      <x:c r="F95" s="33" t="str"/>
      <x:c r="G95" s="33" t="str"/>
      <x:c r="H95" s="35" t="str">
        <x:v>Course-specific</x:v>
      </x:c>
      <x:c r="I95" s="35" t="str">
        <x:v>No</x:v>
      </x:c>
      <x:c r="J95" s="35" t="str">
        <x:v>Foundation Year requirements vary by course. View the full course details or call 01782 491120 to discuss your qualifications.</x:v>
      </x:c>
      <x:c r="K95" s="35" t="str">
        <x:v>https://www.keele.ac.uk/clearing/entry-requirements/</x:v>
      </x:c>
      <x:c r="L95" s="35" t="str">
        <x:v>https://www.keele.ac.uk/study/undergraduate-2026/undergraduatecourses/computersciencewithintegratedmasters/#foundationyear</x:v>
      </x:c>
      <x:c r="M95" s="33" t="str">
        <x:v>Yes</x:v>
      </x:c>
      <x:c r="N95" s="38" t="n">
        <x:v>46195</x:v>
      </x:c>
      <x:c r="O95" s="35" t="str">
        <x:v>Clearing content team</x:v>
      </x:c>
      <x:c r="P95" s="35" t="str">
        <x:v>Initial import from Clearing vacancies and ER page for 2026.docx</x:v>
      </x:c>
      <x:c r="Q95" s="36" t="str">
        <x:f>IF(A95="","Missing ID",IF(COUNTIF($A$5:$A$1000,A95)&gt;1,"Duplicate ID",IF(C95="","Missing title",IF(D95="","Missing type",IF(E95="","Missing availability",IF(H95="","Missing offer",IF(L95="","Missing course URL",IF(ISERROR(SEARCH("https://www.keele.ac.uk/",L95)),"Non-Keele URL",IF(AND(D95="Foundation year",ISERROR(SEARCH("#foundationyear",L95))),"FY URL missing #foundationyear",IF(M95="","Missing display status",IF(N95="","Missing review date",IF(O95="","Missing owner",IF(P95="","Missing change note","OK")))))))))))))</x:f>
        <x:v>OK</x:v>
      </x:c>
    </x:row>
    <x:row r="96">
      <x:c r="A96" s="33" t="str">
        <x:v>2026-computersciencesoftwareengineering-UG</x:v>
      </x:c>
      <x:c r="B96" s="37" t="n">
        <x:v>2026</x:v>
      </x:c>
      <x:c r="C96" s="35" t="str">
        <x:v>Computer Science with Software Engineering</x:v>
      </x:c>
      <x:c r="D96" s="33" t="str">
        <x:v>Undergraduate</x:v>
      </x:c>
      <x:c r="E96" s="33" t="str">
        <x:v>Vacancies</x:v>
      </x:c>
      <x:c r="F96" s="33" t="str"/>
      <x:c r="G96" s="33" t="str">
        <x:v>BSc (Hons)</x:v>
      </x:c>
      <x:c r="H96" s="35" t="str">
        <x:v>64 UCAS tariff points</x:v>
      </x:c>
      <x:c r="I96" s="35" t="str">
        <x:v>No</x:v>
      </x:c>
      <x:c r="J96" s="35" t="str">
        <x:v>Most undergraduate courses require GCSE English Language at grade 4/C or equivalent. Some courses also require GCSE Mathematics at grade 4/C or equivalent.</x:v>
      </x:c>
      <x:c r="K96" s="35" t="str">
        <x:v>https://www.keele.ac.uk/clearing/entry-requirements/</x:v>
      </x:c>
      <x:c r="L96" s="35" t="str">
        <x:v>https://www.keele.ac.uk/study/undergraduate-2026/undergraduatecourses/computersciencesoftwareengineering/</x:v>
      </x:c>
      <x:c r="M96" s="33" t="str">
        <x:v>Yes</x:v>
      </x:c>
      <x:c r="N96" s="38" t="n">
        <x:v>46195</x:v>
      </x:c>
      <x:c r="O96" s="35" t="str">
        <x:v>Clearing content team</x:v>
      </x:c>
      <x:c r="P96" s="35" t="str">
        <x:v>Initial import from Clearing vacancies and ER page for 2026.docx</x:v>
      </x:c>
      <x:c r="Q96" s="36" t="str">
        <x:f>IF(A96="","Missing ID",IF(COUNTIF($A$5:$A$1000,A96)&gt;1,"Duplicate ID",IF(C96="","Missing title",IF(D96="","Missing type",IF(E96="","Missing availability",IF(H96="","Missing offer",IF(L96="","Missing course URL",IF(ISERROR(SEARCH("https://www.keele.ac.uk/",L96)),"Non-Keele URL",IF(AND(D96="Foundation year",ISERROR(SEARCH("#foundationyear",L96))),"FY URL missing #foundationyear",IF(M96="","Missing display status",IF(N96="","Missing review date",IF(O96="","Missing owner",IF(P96="","Missing change note","OK")))))))))))))</x:f>
        <x:v>OK</x:v>
      </x:c>
    </x:row>
    <x:row r="97">
      <x:c r="A97" s="33" t="str">
        <x:v>2026-computersciencewithsoftwareengineering-FY</x:v>
      </x:c>
      <x:c r="B97" s="37" t="n">
        <x:v>2026</x:v>
      </x:c>
      <x:c r="C97" s="35" t="str">
        <x:v>Computer Science with Software Engineering with Foundation Year</x:v>
      </x:c>
      <x:c r="D97" s="33" t="str">
        <x:v>Foundation year</x:v>
      </x:c>
      <x:c r="E97" s="33" t="str">
        <x:v>Vacancies</x:v>
      </x:c>
      <x:c r="F97" s="33" t="str"/>
      <x:c r="G97" s="33" t="str"/>
      <x:c r="H97" s="35" t="str">
        <x:v>Course-specific</x:v>
      </x:c>
      <x:c r="I97" s="35" t="str">
        <x:v>No</x:v>
      </x:c>
      <x:c r="J97" s="35" t="str">
        <x:v>Foundation Year requirements vary by course. View the full course details or call 01782 491120 to discuss your qualifications.</x:v>
      </x:c>
      <x:c r="K97" s="35" t="str">
        <x:v>https://www.keele.ac.uk/clearing/entry-requirements/</x:v>
      </x:c>
      <x:c r="L97" s="35" t="str">
        <x:v>https://www.keele.ac.uk/study/undergraduate-2026/undergraduatecourses/computersciencewithsoftwareengineering/#foundationyear</x:v>
      </x:c>
      <x:c r="M97" s="33" t="str">
        <x:v>Yes</x:v>
      </x:c>
      <x:c r="N97" s="38" t="n">
        <x:v>46195</x:v>
      </x:c>
      <x:c r="O97" s="35" t="str">
        <x:v>Clearing content team</x:v>
      </x:c>
      <x:c r="P97" s="35" t="str">
        <x:v>Initial import from Clearing vacancies and ER page for 2026.docx</x:v>
      </x:c>
      <x:c r="Q97" s="36" t="str">
        <x:f>IF(A97="","Missing ID",IF(COUNTIF($A$5:$A$1000,A97)&gt;1,"Duplicate ID",IF(C97="","Missing title",IF(D97="","Missing type",IF(E97="","Missing availability",IF(H97="","Missing offer",IF(L97="","Missing course URL",IF(ISERROR(SEARCH("https://www.keele.ac.uk/",L97)),"Non-Keele URL",IF(AND(D97="Foundation year",ISERROR(SEARCH("#foundationyear",L97))),"FY URL missing #foundationyear",IF(M97="","Missing display status",IF(N97="","Missing review date",IF(O97="","Missing owner",IF(P97="","Missing change note","OK")))))))))))))</x:f>
        <x:v>OK</x:v>
      </x:c>
    </x:row>
    <x:row r="98">
      <x:c r="A98" s="33" t="str">
        <x:v>2026-G406-UG</x:v>
      </x:c>
      <x:c r="B98" s="37" t="n">
        <x:v>2026</x:v>
      </x:c>
      <x:c r="C98" s="35" t="str">
        <x:v>Computing Top-up</x:v>
      </x:c>
      <x:c r="D98" s="33" t="str">
        <x:v>Undergraduate</x:v>
      </x:c>
      <x:c r="E98" s="33" t="str">
        <x:v>Vacancies</x:v>
      </x:c>
      <x:c r="F98" s="33" t="str">
        <x:v>G406</x:v>
      </x:c>
      <x:c r="G98" s="33" t="str">
        <x:v>BSc (Hons)</x:v>
      </x:c>
      <x:c r="H98" s="35" t="str">
        <x:v>Pass HND</x:v>
      </x:c>
      <x:c r="I98" s="35" t="str">
        <x:v>Yes</x:v>
      </x:c>
      <x:c r="J98" s="35" t="str">
        <x:v>This course has additional subject-specific requirements. View the full course details or contact Admissions before applying.</x:v>
      </x:c>
      <x:c r="K98" s="35" t="str">
        <x:v>https://www.keele.ac.uk/clearing/entry-requirements/</x:v>
      </x:c>
      <x:c r="L98" s="35" t="str">
        <x:v>https://www.keele.ac.uk/study/undergraduate-2026/undergraduatecourses/computing-top-up/</x:v>
      </x:c>
      <x:c r="M98" s="33" t="str">
        <x:v>Yes</x:v>
      </x:c>
      <x:c r="N98" s="38" t="n">
        <x:v>46195</x:v>
      </x:c>
      <x:c r="O98" s="35" t="str">
        <x:v>Clearing content team</x:v>
      </x:c>
      <x:c r="P98" s="35" t="str">
        <x:v>Initial import from Clearing vacancies and ER page for 2026.docx</x:v>
      </x:c>
      <x:c r="Q98" s="36" t="str">
        <x:f>IF(A98="","Missing ID",IF(COUNTIF($A$5:$A$1000,A98)&gt;1,"Duplicate ID",IF(C98="","Missing title",IF(D98="","Missing type",IF(E98="","Missing availability",IF(H98="","Missing offer",IF(L98="","Missing course URL",IF(ISERROR(SEARCH("https://www.keele.ac.uk/",L98)),"Non-Keele URL",IF(AND(D98="Foundation year",ISERROR(SEARCH("#foundationyear",L98))),"FY URL missing #foundationyear",IF(M98="","Missing display status",IF(N98="","Missing review date",IF(O98="","Missing owner",IF(P98="","Missing change note","OK")))))))))))))</x:f>
        <x:v>OK</x:v>
      </x:c>
    </x:row>
    <x:row r="99">
      <x:c r="A99" s="33" t="str">
        <x:v>2026-W800-UG</x:v>
      </x:c>
      <x:c r="B99" s="37" t="n">
        <x:v>2026</x:v>
      </x:c>
      <x:c r="C99" s="35" t="str">
        <x:v>Creative Writing</x:v>
      </x:c>
      <x:c r="D99" s="33" t="str">
        <x:v>Undergraduate</x:v>
      </x:c>
      <x:c r="E99" s="33" t="str">
        <x:v>Vacancies</x:v>
      </x:c>
      <x:c r="F99" s="33" t="str">
        <x:v>W800</x:v>
      </x:c>
      <x:c r="G99" s="33" t="str">
        <x:v>BA (Hons)</x:v>
      </x:c>
      <x:c r="H99" s="35" t="str">
        <x:v>64 UCAS tariff points</x:v>
      </x:c>
      <x:c r="I99" s="35" t="str">
        <x:v>No</x:v>
      </x:c>
      <x:c r="J99" s="35" t="str">
        <x:v>Most undergraduate courses require GCSE English Language at grade 4/C or equivalent. Some courses also require GCSE Mathematics at grade 4/C or equivalent.</x:v>
      </x:c>
      <x:c r="K99" s="35" t="str">
        <x:v>https://www.keele.ac.uk/clearing/entry-requirements/</x:v>
      </x:c>
      <x:c r="L99" s="35" t="str">
        <x:v>https://www.keele.ac.uk/study/undergraduate-2026/undergraduatecourses/creativewriting/</x:v>
      </x:c>
      <x:c r="M99" s="33" t="str">
        <x:v>Yes</x:v>
      </x:c>
      <x:c r="N99" s="38" t="n">
        <x:v>46195</x:v>
      </x:c>
      <x:c r="O99" s="35" t="str">
        <x:v>Clearing content team</x:v>
      </x:c>
      <x:c r="P99" s="35" t="str">
        <x:v>Initial import from Clearing vacancies and ER page for 2026.docx</x:v>
      </x:c>
      <x:c r="Q99" s="36" t="str">
        <x:f>IF(A99="","Missing ID",IF(COUNTIF($A$5:$A$1000,A99)&gt;1,"Duplicate ID",IF(C99="","Missing title",IF(D99="","Missing type",IF(E99="","Missing availability",IF(H99="","Missing offer",IF(L99="","Missing course URL",IF(ISERROR(SEARCH("https://www.keele.ac.uk/",L99)),"Non-Keele URL",IF(AND(D99="Foundation year",ISERROR(SEARCH("#foundationyear",L99))),"FY URL missing #foundationyear",IF(M99="","Missing display status",IF(N99="","Missing review date",IF(O99="","Missing owner",IF(P99="","Missing change note","OK")))))))))))))</x:f>
        <x:v>OK</x:v>
      </x:c>
    </x:row>
    <x:row r="100">
      <x:c r="A100" s="33" t="str">
        <x:v>2026-creativewriting-FY</x:v>
      </x:c>
      <x:c r="B100" s="37" t="n">
        <x:v>2026</x:v>
      </x:c>
      <x:c r="C100" s="35" t="str">
        <x:v>Creative Writing with Foundation Year</x:v>
      </x:c>
      <x:c r="D100" s="33" t="str">
        <x:v>Foundation year</x:v>
      </x:c>
      <x:c r="E100" s="33" t="str">
        <x:v>Vacancies</x:v>
      </x:c>
      <x:c r="F100" s="33" t="str"/>
      <x:c r="G100" s="33" t="str"/>
      <x:c r="H100" s="35" t="str">
        <x:v>Course-specific</x:v>
      </x:c>
      <x:c r="I100" s="35" t="str">
        <x:v>No</x:v>
      </x:c>
      <x:c r="J100" s="35" t="str">
        <x:v>Foundation Year requirements vary by course. View the full course details or call 01782 491120 to discuss your qualifications.</x:v>
      </x:c>
      <x:c r="K100" s="35" t="str">
        <x:v>https://www.keele.ac.uk/clearing/entry-requirements/</x:v>
      </x:c>
      <x:c r="L100" s="35" t="str">
        <x:v>https://www.keele.ac.uk/study/undergraduate-2026/undergraduatecourses/creativewriting/#foundationyear</x:v>
      </x:c>
      <x:c r="M100" s="33" t="str">
        <x:v>Yes</x:v>
      </x:c>
      <x:c r="N100" s="38" t="n">
        <x:v>46195</x:v>
      </x:c>
      <x:c r="O100" s="35" t="str">
        <x:v>Clearing content team</x:v>
      </x:c>
      <x:c r="P100" s="35" t="str">
        <x:v>Initial import from Clearing vacancies and ER page for 2026.docx</x:v>
      </x:c>
      <x:c r="Q100" s="36" t="str">
        <x:f>IF(A100="","Missing ID",IF(COUNTIF($A$5:$A$1000,A100)&gt;1,"Duplicate ID",IF(C100="","Missing title",IF(D100="","Missing type",IF(E100="","Missing availability",IF(H100="","Missing offer",IF(L100="","Missing course URL",IF(ISERROR(SEARCH("https://www.keele.ac.uk/",L100)),"Non-Keele URL",IF(AND(D100="Foundation year",ISERROR(SEARCH("#foundationyear",L100))),"FY URL missing #foundationyear",IF(M100="","Missing display status",IF(N100="","Missing review date",IF(O100="","Missing owner",IF(P100="","Missing change note","OK")))))))))))))</x:f>
        <x:v>OK</x:v>
      </x:c>
    </x:row>
    <x:row r="101">
      <x:c r="A101" s="33" t="str">
        <x:v>2026-L611-UG</x:v>
      </x:c>
      <x:c r="B101" s="37" t="n">
        <x:v>2026</x:v>
      </x:c>
      <x:c r="C101" s="35" t="str">
        <x:v>Criminology</x:v>
      </x:c>
      <x:c r="D101" s="33" t="str">
        <x:v>Undergraduate</x:v>
      </x:c>
      <x:c r="E101" s="33" t="str">
        <x:v>Vacancies</x:v>
      </x:c>
      <x:c r="F101" s="33" t="str">
        <x:v>L611</x:v>
      </x:c>
      <x:c r="G101" s="33" t="str">
        <x:v>BA (Hons)</x:v>
      </x:c>
      <x:c r="H101" s="35" t="str">
        <x:v>64 UCAS tariff points</x:v>
      </x:c>
      <x:c r="I101" s="35" t="str">
        <x:v>No</x:v>
      </x:c>
      <x:c r="J101" s="35" t="str">
        <x:v>Most undergraduate courses require GCSE English Language at grade 4/C or equivalent. Some courses also require GCSE Mathematics at grade 4/C or equivalent.</x:v>
      </x:c>
      <x:c r="K101" s="35" t="str">
        <x:v>https://www.keele.ac.uk/clearing/entry-requirements/</x:v>
      </x:c>
      <x:c r="L101" s="35" t="str">
        <x:v>https://www.keele.ac.uk/study/undergraduate-2026/undergraduatecourses/criminology/</x:v>
      </x:c>
      <x:c r="M101" s="33" t="str">
        <x:v>Yes</x:v>
      </x:c>
      <x:c r="N101" s="38" t="n">
        <x:v>46195</x:v>
      </x:c>
      <x:c r="O101" s="35" t="str">
        <x:v>Clearing content team</x:v>
      </x:c>
      <x:c r="P101" s="35" t="str">
        <x:v>Initial import from Clearing vacancies and ER page for 2026.docx</x:v>
      </x:c>
      <x:c r="Q101" s="36" t="str">
        <x:f>IF(A101="","Missing ID",IF(COUNTIF($A$5:$A$1000,A101)&gt;1,"Duplicate ID",IF(C101="","Missing title",IF(D101="","Missing type",IF(E101="","Missing availability",IF(H101="","Missing offer",IF(L101="","Missing course URL",IF(ISERROR(SEARCH("https://www.keele.ac.uk/",L101)),"Non-Keele URL",IF(AND(D101="Foundation year",ISERROR(SEARCH("#foundationyear",L101))),"FY URL missing #foundationyear",IF(M101="","Missing display status",IF(N101="","Missing review date",IF(O101="","Missing owner",IF(P101="","Missing change note","OK")))))))))))))</x:f>
        <x:v>OK</x:v>
      </x:c>
    </x:row>
    <x:row r="102">
      <x:c r="A102" s="33" t="str">
        <x:v>2026-L612-UG</x:v>
      </x:c>
      <x:c r="B102" s="37" t="n">
        <x:v>2026</x:v>
      </x:c>
      <x:c r="C102" s="35" t="str">
        <x:v>Criminology and Criminal Justice</x:v>
      </x:c>
      <x:c r="D102" s="33" t="str">
        <x:v>Undergraduate</x:v>
      </x:c>
      <x:c r="E102" s="33" t="str">
        <x:v>Vacancies</x:v>
      </x:c>
      <x:c r="F102" s="33" t="str">
        <x:v>L612</x:v>
      </x:c>
      <x:c r="G102" s="33" t="str">
        <x:v>BA (Hons)</x:v>
      </x:c>
      <x:c r="H102" s="35" t="str">
        <x:v>64 UCAS tariff points</x:v>
      </x:c>
      <x:c r="I102" s="35" t="str">
        <x:v>No</x:v>
      </x:c>
      <x:c r="J102" s="35" t="str">
        <x:v>Most undergraduate courses require GCSE English Language at grade 4/C or equivalent. Some courses also require GCSE Mathematics at grade 4/C or equivalent.</x:v>
      </x:c>
      <x:c r="K102" s="35" t="str">
        <x:v>https://www.keele.ac.uk/clearing/entry-requirements/</x:v>
      </x:c>
      <x:c r="L102" s="35" t="str">
        <x:v>https://www.keele.ac.uk/study/undergraduate-2026/undergraduatecourses/criminologyandcriminaljustice/</x:v>
      </x:c>
      <x:c r="M102" s="33" t="str">
        <x:v>Yes</x:v>
      </x:c>
      <x:c r="N102" s="38" t="n">
        <x:v>46195</x:v>
      </x:c>
      <x:c r="O102" s="35" t="str">
        <x:v>Clearing content team</x:v>
      </x:c>
      <x:c r="P102" s="35" t="str">
        <x:v>Initial import from Clearing vacancies and ER page for 2026.docx</x:v>
      </x:c>
      <x:c r="Q102" s="36" t="str">
        <x:f>IF(A102="","Missing ID",IF(COUNTIF($A$5:$A$1000,A102)&gt;1,"Duplicate ID",IF(C102="","Missing title",IF(D102="","Missing type",IF(E102="","Missing availability",IF(H102="","Missing offer",IF(L102="","Missing course URL",IF(ISERROR(SEARCH("https://www.keele.ac.uk/",L102)),"Non-Keele URL",IF(AND(D102="Foundation year",ISERROR(SEARCH("#foundationyear",L102))),"FY URL missing #foundationyear",IF(M102="","Missing display status",IF(N102="","Missing review date",IF(O102="","Missing owner",IF(P102="","Missing change note","OK")))))))))))))</x:f>
        <x:v>OK</x:v>
      </x:c>
    </x:row>
    <x:row r="103">
      <x:c r="A103" s="33" t="str">
        <x:v>2026-criminologyandcriminaljustice-FY</x:v>
      </x:c>
      <x:c r="B103" s="37" t="n">
        <x:v>2026</x:v>
      </x:c>
      <x:c r="C103" s="35" t="str">
        <x:v>Criminology and Criminal Justice with Foundation Year</x:v>
      </x:c>
      <x:c r="D103" s="33" t="str">
        <x:v>Foundation year</x:v>
      </x:c>
      <x:c r="E103" s="33" t="str">
        <x:v>Vacancies</x:v>
      </x:c>
      <x:c r="F103" s="33" t="str"/>
      <x:c r="G103" s="33" t="str"/>
      <x:c r="H103" s="35" t="str">
        <x:v>Course-specific</x:v>
      </x:c>
      <x:c r="I103" s="35" t="str">
        <x:v>No</x:v>
      </x:c>
      <x:c r="J103" s="35" t="str">
        <x:v>Foundation Year requirements vary by course. View the full course details or call 01782 491120 to discuss your qualifications.</x:v>
      </x:c>
      <x:c r="K103" s="35" t="str">
        <x:v>https://www.keele.ac.uk/clearing/entry-requirements/</x:v>
      </x:c>
      <x:c r="L103" s="35" t="str">
        <x:v>https://www.keele.ac.uk/study/undergraduate-2026/undergraduatecourses/criminologyandcriminaljustice/#foundationyear</x:v>
      </x:c>
      <x:c r="M103" s="33" t="str">
        <x:v>Yes</x:v>
      </x:c>
      <x:c r="N103" s="38" t="n">
        <x:v>46195</x:v>
      </x:c>
      <x:c r="O103" s="35" t="str">
        <x:v>Clearing content team</x:v>
      </x:c>
      <x:c r="P103" s="35" t="str">
        <x:v>Initial import from Clearing vacancies and ER page for 2026.docx</x:v>
      </x:c>
      <x:c r="Q103" s="36" t="str">
        <x:f>IF(A103="","Missing ID",IF(COUNTIF($A$5:$A$1000,A103)&gt;1,"Duplicate ID",IF(C103="","Missing title",IF(D103="","Missing type",IF(E103="","Missing availability",IF(H103="","Missing offer",IF(L103="","Missing course URL",IF(ISERROR(SEARCH("https://www.keele.ac.uk/",L103)),"Non-Keele URL",IF(AND(D103="Foundation year",ISERROR(SEARCH("#foundationyear",L103))),"FY URL missing #foundationyear",IF(M103="","Missing display status",IF(N103="","Missing review date",IF(O103="","Missing owner",IF(P103="","Missing change note","OK")))))))))))))</x:f>
        <x:v>OK</x:v>
      </x:c>
    </x:row>
    <x:row r="104">
      <x:c r="A104" s="33" t="str">
        <x:v>2026-MXV1-UG</x:v>
      </x:c>
      <x:c r="B104" s="37" t="n">
        <x:v>2026</x:v>
      </x:c>
      <x:c r="C104" s="35" t="str">
        <x:v>Criminology and History</x:v>
      </x:c>
      <x:c r="D104" s="33" t="str">
        <x:v>Undergraduate</x:v>
      </x:c>
      <x:c r="E104" s="33" t="str">
        <x:v>Vacancies</x:v>
      </x:c>
      <x:c r="F104" s="33" t="str">
        <x:v>MXV1</x:v>
      </x:c>
      <x:c r="G104" s="33" t="str">
        <x:v>BA (Hons)</x:v>
      </x:c>
      <x:c r="H104" s="35" t="str">
        <x:v>64 UCAS tariff points</x:v>
      </x:c>
      <x:c r="I104" s="35" t="str">
        <x:v>No</x:v>
      </x:c>
      <x:c r="J104" s="35" t="str">
        <x:v>Most undergraduate courses require GCSE English Language at grade 4/C or equivalent. Some courses also require GCSE Mathematics at grade 4/C or equivalent.</x:v>
      </x:c>
      <x:c r="K104" s="35" t="str">
        <x:v>https://www.keele.ac.uk/clearing/entry-requirements/</x:v>
      </x:c>
      <x:c r="L104" s="35" t="str">
        <x:v>https://www.keele.ac.uk/study/undergraduate-2026/undergraduatecourses/criminologyandhistory/</x:v>
      </x:c>
      <x:c r="M104" s="33" t="str">
        <x:v>Yes</x:v>
      </x:c>
      <x:c r="N104" s="38" t="n">
        <x:v>46195</x:v>
      </x:c>
      <x:c r="O104" s="35" t="str">
        <x:v>Clearing content team</x:v>
      </x:c>
      <x:c r="P104" s="35" t="str">
        <x:v>Initial import from Clearing vacancies and ER page for 2026.docx</x:v>
      </x:c>
      <x:c r="Q104" s="36" t="str">
        <x:f>IF(A104="","Missing ID",IF(COUNTIF($A$5:$A$1000,A104)&gt;1,"Duplicate ID",IF(C104="","Missing title",IF(D104="","Missing type",IF(E104="","Missing availability",IF(H104="","Missing offer",IF(L104="","Missing course URL",IF(ISERROR(SEARCH("https://www.keele.ac.uk/",L104)),"Non-Keele URL",IF(AND(D104="Foundation year",ISERROR(SEARCH("#foundationyear",L104))),"FY URL missing #foundationyear",IF(M104="","Missing display status",IF(N104="","Missing review date",IF(O104="","Missing owner",IF(P104="","Missing change note","OK")))))))))))))</x:f>
        <x:v>OK</x:v>
      </x:c>
    </x:row>
    <x:row r="105">
      <x:c r="A105" s="33" t="str">
        <x:v>2026-criminologyandhistory-FY</x:v>
      </x:c>
      <x:c r="B105" s="37" t="n">
        <x:v>2026</x:v>
      </x:c>
      <x:c r="C105" s="35" t="str">
        <x:v>Criminology and History with Foundation Year</x:v>
      </x:c>
      <x:c r="D105" s="33" t="str">
        <x:v>Foundation year</x:v>
      </x:c>
      <x:c r="E105" s="33" t="str">
        <x:v>Vacancies</x:v>
      </x:c>
      <x:c r="F105" s="33" t="str"/>
      <x:c r="G105" s="33" t="str"/>
      <x:c r="H105" s="35" t="str">
        <x:v>Course-specific</x:v>
      </x:c>
      <x:c r="I105" s="35" t="str">
        <x:v>No</x:v>
      </x:c>
      <x:c r="J105" s="35" t="str">
        <x:v>Foundation Year requirements vary by course. View the full course details or call 01782 491120 to discuss your qualifications.</x:v>
      </x:c>
      <x:c r="K105" s="35" t="str">
        <x:v>https://www.keele.ac.uk/clearing/entry-requirements/</x:v>
      </x:c>
      <x:c r="L105" s="35" t="str">
        <x:v>https://www.keele.ac.uk/study/undergraduate-2026/undergraduatecourses/criminologyandhistory/#foundationyear</x:v>
      </x:c>
      <x:c r="M105" s="33" t="str">
        <x:v>Yes</x:v>
      </x:c>
      <x:c r="N105" s="38" t="n">
        <x:v>46195</x:v>
      </x:c>
      <x:c r="O105" s="35" t="str">
        <x:v>Clearing content team</x:v>
      </x:c>
      <x:c r="P105" s="35" t="str">
        <x:v>Initial import from Clearing vacancies and ER page for 2026.docx</x:v>
      </x:c>
      <x:c r="Q105" s="36" t="str">
        <x:f>IF(A105="","Missing ID",IF(COUNTIF($A$5:$A$1000,A105)&gt;1,"Duplicate ID",IF(C105="","Missing title",IF(D105="","Missing type",IF(E105="","Missing availability",IF(H105="","Missing offer",IF(L105="","Missing course URL",IF(ISERROR(SEARCH("https://www.keele.ac.uk/",L105)),"Non-Keele URL",IF(AND(D105="Foundation year",ISERROR(SEARCH("#foundationyear",L105))),"FY URL missing #foundationyear",IF(M105="","Missing display status",IF(N105="","Missing review date",IF(O105="","Missing owner",IF(P105="","Missing change note","OK")))))))))))))</x:f>
        <x:v>OK</x:v>
      </x:c>
    </x:row>
    <x:row r="106">
      <x:c r="A106" s="33" t="str">
        <x:v>2026-LMH9-UG</x:v>
      </x:c>
      <x:c r="B106" s="37" t="n">
        <x:v>2026</x:v>
      </x:c>
      <x:c r="C106" s="35" t="str">
        <x:v>Criminology and Sociology</x:v>
      </x:c>
      <x:c r="D106" s="33" t="str">
        <x:v>Undergraduate</x:v>
      </x:c>
      <x:c r="E106" s="33" t="str">
        <x:v>Vacancies</x:v>
      </x:c>
      <x:c r="F106" s="33" t="str">
        <x:v>LMH9</x:v>
      </x:c>
      <x:c r="G106" s="33" t="str">
        <x:v>BA (Hons)</x:v>
      </x:c>
      <x:c r="H106" s="35" t="str">
        <x:v>64 UCAS tariff points</x:v>
      </x:c>
      <x:c r="I106" s="35" t="str">
        <x:v>No</x:v>
      </x:c>
      <x:c r="J106" s="35" t="str">
        <x:v>Most undergraduate courses require GCSE English Language at grade 4/C or equivalent. Some courses also require GCSE Mathematics at grade 4/C or equivalent.</x:v>
      </x:c>
      <x:c r="K106" s="35" t="str">
        <x:v>https://www.keele.ac.uk/clearing/entry-requirements/</x:v>
      </x:c>
      <x:c r="L106" s="35" t="str">
        <x:v>https://www.keele.ac.uk/study/undergraduate-2026/undergraduatecourses/criminologyandsociology/</x:v>
      </x:c>
      <x:c r="M106" s="33" t="str">
        <x:v>Yes</x:v>
      </x:c>
      <x:c r="N106" s="38" t="n">
        <x:v>46195</x:v>
      </x:c>
      <x:c r="O106" s="35" t="str">
        <x:v>Clearing content team</x:v>
      </x:c>
      <x:c r="P106" s="35" t="str">
        <x:v>Initial import from Clearing vacancies and ER page for 2026.docx</x:v>
      </x:c>
      <x:c r="Q106" s="36" t="str">
        <x:f>IF(A106="","Missing ID",IF(COUNTIF($A$5:$A$1000,A106)&gt;1,"Duplicate ID",IF(C106="","Missing title",IF(D106="","Missing type",IF(E106="","Missing availability",IF(H106="","Missing offer",IF(L106="","Missing course URL",IF(ISERROR(SEARCH("https://www.keele.ac.uk/",L106)),"Non-Keele URL",IF(AND(D106="Foundation year",ISERROR(SEARCH("#foundationyear",L106))),"FY URL missing #foundationyear",IF(M106="","Missing display status",IF(N106="","Missing review date",IF(O106="","Missing owner",IF(P106="","Missing change note","OK")))))))))))))</x:f>
        <x:v>OK</x:v>
      </x:c>
    </x:row>
    <x:row r="107">
      <x:c r="A107" s="33" t="str">
        <x:v>2026-criminologyandsociology-FY</x:v>
      </x:c>
      <x:c r="B107" s="37" t="n">
        <x:v>2026</x:v>
      </x:c>
      <x:c r="C107" s="35" t="str">
        <x:v>Criminology and Sociology with Foundation Year</x:v>
      </x:c>
      <x:c r="D107" s="33" t="str">
        <x:v>Foundation year</x:v>
      </x:c>
      <x:c r="E107" s="33" t="str">
        <x:v>Vacancies</x:v>
      </x:c>
      <x:c r="F107" s="33" t="str"/>
      <x:c r="G107" s="33" t="str"/>
      <x:c r="H107" s="35" t="str">
        <x:v>Course-specific</x:v>
      </x:c>
      <x:c r="I107" s="35" t="str">
        <x:v>No</x:v>
      </x:c>
      <x:c r="J107" s="35" t="str">
        <x:v>Foundation Year requirements vary by course. View the full course details or call 01782 491120 to discuss your qualifications.</x:v>
      </x:c>
      <x:c r="K107" s="35" t="str">
        <x:v>https://www.keele.ac.uk/clearing/entry-requirements/</x:v>
      </x:c>
      <x:c r="L107" s="35" t="str">
        <x:v>https://www.keele.ac.uk/study/undergraduate-2026/undergraduatecourses/criminologyandsociology/#foundationyear</x:v>
      </x:c>
      <x:c r="M107" s="33" t="str">
        <x:v>Yes</x:v>
      </x:c>
      <x:c r="N107" s="38" t="n">
        <x:v>46195</x:v>
      </x:c>
      <x:c r="O107" s="35" t="str">
        <x:v>Clearing content team</x:v>
      </x:c>
      <x:c r="P107" s="35" t="str">
        <x:v>Initial import from Clearing vacancies and ER page for 2026.docx</x:v>
      </x:c>
      <x:c r="Q107" s="36" t="str">
        <x:f>IF(A107="","Missing ID",IF(COUNTIF($A$5:$A$1000,A107)&gt;1,"Duplicate ID",IF(C107="","Missing title",IF(D107="","Missing type",IF(E107="","Missing availability",IF(H107="","Missing offer",IF(L107="","Missing course URL",IF(ISERROR(SEARCH("https://www.keele.ac.uk/",L107)),"Non-Keele URL",IF(AND(D107="Foundation year",ISERROR(SEARCH("#foundationyear",L107))),"FY URL missing #foundationyear",IF(M107="","Missing display status",IF(N107="","Missing review date",IF(O107="","Missing owner",IF(P107="","Missing change note","OK")))))))))))))</x:f>
        <x:v>OK</x:v>
      </x:c>
    </x:row>
    <x:row r="108">
      <x:c r="A108" s="33" t="str">
        <x:v>2026-criminology-FY</x:v>
      </x:c>
      <x:c r="B108" s="37" t="n">
        <x:v>2026</x:v>
      </x:c>
      <x:c r="C108" s="35" t="str">
        <x:v>Criminology with Foundation Year</x:v>
      </x:c>
      <x:c r="D108" s="33" t="str">
        <x:v>Foundation year</x:v>
      </x:c>
      <x:c r="E108" s="33" t="str">
        <x:v>Vacancies</x:v>
      </x:c>
      <x:c r="F108" s="33" t="str"/>
      <x:c r="G108" s="33" t="str"/>
      <x:c r="H108" s="35" t="str">
        <x:v>Course-specific</x:v>
      </x:c>
      <x:c r="I108" s="35" t="str">
        <x:v>No</x:v>
      </x:c>
      <x:c r="J108" s="35" t="str">
        <x:v>Foundation Year requirements vary by course. View the full course details or call 01782 491120 to discuss your qualifications.</x:v>
      </x:c>
      <x:c r="K108" s="35" t="str">
        <x:v>https://www.keele.ac.uk/clearing/entry-requirements/</x:v>
      </x:c>
      <x:c r="L108" s="35" t="str">
        <x:v>https://www.keele.ac.uk/study/undergraduate-2026/undergraduatecourses/criminology/#foundationyear</x:v>
      </x:c>
      <x:c r="M108" s="33" t="str">
        <x:v>Yes</x:v>
      </x:c>
      <x:c r="N108" s="38" t="n">
        <x:v>46195</x:v>
      </x:c>
      <x:c r="O108" s="35" t="str">
        <x:v>Clearing content team</x:v>
      </x:c>
      <x:c r="P108" s="35" t="str">
        <x:v>Initial import from Clearing vacancies and ER page for 2026.docx</x:v>
      </x:c>
      <x:c r="Q108" s="36" t="str">
        <x:f>IF(A108="","Missing ID",IF(COUNTIF($A$5:$A$1000,A108)&gt;1,"Duplicate ID",IF(C108="","Missing title",IF(D108="","Missing type",IF(E108="","Missing availability",IF(H108="","Missing offer",IF(L108="","Missing course URL",IF(ISERROR(SEARCH("https://www.keele.ac.uk/",L108)),"Non-Keele URL",IF(AND(D108="Foundation year",ISERROR(SEARCH("#foundationyear",L108))),"FY URL missing #foundationyear",IF(M108="","Missing display status",IF(N108="","Missing review date",IF(O108="","Missing owner",IF(P108="","Missing change note","OK")))))))))))))</x:f>
        <x:v>OK</x:v>
      </x:c>
    </x:row>
    <x:row r="109">
      <x:c r="A109" s="33" t="str">
        <x:v>2026-cybersecurity-FY</x:v>
      </x:c>
      <x:c r="B109" s="37" t="n">
        <x:v>2026</x:v>
      </x:c>
      <x:c r="C109" s="35" t="str">
        <x:v>Cyber Security with Foundation Year</x:v>
      </x:c>
      <x:c r="D109" s="33" t="str">
        <x:v>Foundation year</x:v>
      </x:c>
      <x:c r="E109" s="33" t="str">
        <x:v>Vacancies</x:v>
      </x:c>
      <x:c r="F109" s="33" t="str"/>
      <x:c r="G109" s="33" t="str"/>
      <x:c r="H109" s="35" t="str">
        <x:v>Course-specific</x:v>
      </x:c>
      <x:c r="I109" s="35" t="str">
        <x:v>No</x:v>
      </x:c>
      <x:c r="J109" s="35" t="str">
        <x:v>Foundation Year requirements vary by course. View the full course details or call 01782 491120 to discuss your qualifications.</x:v>
      </x:c>
      <x:c r="K109" s="35" t="str">
        <x:v>https://www.keele.ac.uk/clearing/entry-requirements/</x:v>
      </x:c>
      <x:c r="L109" s="35" t="str">
        <x:v>https://www.keele.ac.uk/study/undergraduate-2026/undergraduatecourses/cybersecurity/#foundationyear</x:v>
      </x:c>
      <x:c r="M109" s="33" t="str">
        <x:v>Yes</x:v>
      </x:c>
      <x:c r="N109" s="38" t="n">
        <x:v>46195</x:v>
      </x:c>
      <x:c r="O109" s="35" t="str">
        <x:v>Clearing content team</x:v>
      </x:c>
      <x:c r="P109" s="35" t="str">
        <x:v>Initial import from Clearing vacancies and ER page for 2026.docx</x:v>
      </x:c>
      <x:c r="Q109" s="36" t="str">
        <x:f>IF(A109="","Missing ID",IF(COUNTIF($A$5:$A$1000,A109)&gt;1,"Duplicate ID",IF(C109="","Missing title",IF(D109="","Missing type",IF(E109="","Missing availability",IF(H109="","Missing offer",IF(L109="","Missing course URL",IF(ISERROR(SEARCH("https://www.keele.ac.uk/",L109)),"Non-Keele URL",IF(AND(D109="Foundation year",ISERROR(SEARCH("#foundationyear",L109))),"FY URL missing #foundationyear",IF(M109="","Missing display status",IF(N109="","Missing review date",IF(O109="","Missing owner",IF(P109="","Missing change note","OK")))))))))))))</x:f>
        <x:v>OK</x:v>
      </x:c>
    </x:row>
    <x:row r="110">
      <x:c r="A110" s="33" t="str">
        <x:v>2026-G420-UG</x:v>
      </x:c>
      <x:c r="B110" s="37" t="n">
        <x:v>2026</x:v>
      </x:c>
      <x:c r="C110" s="35" t="str">
        <x:v>Data Science</x:v>
      </x:c>
      <x:c r="D110" s="33" t="str">
        <x:v>Undergraduate</x:v>
      </x:c>
      <x:c r="E110" s="33" t="str">
        <x:v>Vacancies</x:v>
      </x:c>
      <x:c r="F110" s="33" t="str">
        <x:v>G420</x:v>
      </x:c>
      <x:c r="G110" s="33" t="str">
        <x:v>BSc (Hons)</x:v>
      </x:c>
      <x:c r="H110" s="35" t="str">
        <x:v>64 UCAS tariff points</x:v>
      </x:c>
      <x:c r="I110" s="35" t="str">
        <x:v>No</x:v>
      </x:c>
      <x:c r="J110" s="35" t="str">
        <x:v>Most undergraduate courses require GCSE English Language at grade 4/C or equivalent. Some courses also require GCSE Mathematics at grade 4/C or equivalent.</x:v>
      </x:c>
      <x:c r="K110" s="35" t="str">
        <x:v>https://www.keele.ac.uk/clearing/entry-requirements/</x:v>
      </x:c>
      <x:c r="L110" s="35" t="str">
        <x:v>https://www.keele.ac.uk/study/undergraduate-2026/undergraduatecourses/datascience/</x:v>
      </x:c>
      <x:c r="M110" s="33" t="str">
        <x:v>Yes</x:v>
      </x:c>
      <x:c r="N110" s="38" t="n">
        <x:v>46195</x:v>
      </x:c>
      <x:c r="O110" s="35" t="str">
        <x:v>Clearing content team</x:v>
      </x:c>
      <x:c r="P110" s="35" t="str">
        <x:v>Initial import from Clearing vacancies and ER page for 2026.docx</x:v>
      </x:c>
      <x:c r="Q110" s="36" t="str">
        <x:f>IF(A110="","Missing ID",IF(COUNTIF($A$5:$A$1000,A110)&gt;1,"Duplicate ID",IF(C110="","Missing title",IF(D110="","Missing type",IF(E110="","Missing availability",IF(H110="","Missing offer",IF(L110="","Missing course URL",IF(ISERROR(SEARCH("https://www.keele.ac.uk/",L110)),"Non-Keele URL",IF(AND(D110="Foundation year",ISERROR(SEARCH("#foundationyear",L110))),"FY URL missing #foundationyear",IF(M110="","Missing display status",IF(N110="","Missing review date",IF(O110="","Missing owner",IF(P110="","Missing change note","OK")))))))))))))</x:f>
        <x:v>OK</x:v>
      </x:c>
    </x:row>
    <x:row r="111">
      <x:c r="A111" s="33" t="str">
        <x:v>2026-datascience-FY</x:v>
      </x:c>
      <x:c r="B111" s="37" t="n">
        <x:v>2026</x:v>
      </x:c>
      <x:c r="C111" s="35" t="str">
        <x:v>Data Science with Foundation Year</x:v>
      </x:c>
      <x:c r="D111" s="33" t="str">
        <x:v>Foundation year</x:v>
      </x:c>
      <x:c r="E111" s="33" t="str">
        <x:v>Vacancies</x:v>
      </x:c>
      <x:c r="F111" s="33" t="str"/>
      <x:c r="G111" s="33" t="str"/>
      <x:c r="H111" s="35" t="str">
        <x:v>Course-specific</x:v>
      </x:c>
      <x:c r="I111" s="35" t="str">
        <x:v>No</x:v>
      </x:c>
      <x:c r="J111" s="35" t="str">
        <x:v>Foundation Year requirements vary by course. View the full course details or call 01782 491120 to discuss your qualifications.</x:v>
      </x:c>
      <x:c r="K111" s="35" t="str">
        <x:v>https://www.keele.ac.uk/clearing/entry-requirements/</x:v>
      </x:c>
      <x:c r="L111" s="35" t="str">
        <x:v>https://www.keele.ac.uk/study/undergraduate-2026/undergraduatecourses/datascience/#foundationyear</x:v>
      </x:c>
      <x:c r="M111" s="33" t="str">
        <x:v>Yes</x:v>
      </x:c>
      <x:c r="N111" s="38" t="n">
        <x:v>46195</x:v>
      </x:c>
      <x:c r="O111" s="35" t="str">
        <x:v>Clearing content team</x:v>
      </x:c>
      <x:c r="P111" s="35" t="str">
        <x:v>Initial import from Clearing vacancies and ER page for 2026.docx</x:v>
      </x:c>
      <x:c r="Q111" s="36" t="str">
        <x:f>IF(A111="","Missing ID",IF(COUNTIF($A$5:$A$1000,A111)&gt;1,"Duplicate ID",IF(C111="","Missing title",IF(D111="","Missing type",IF(E111="","Missing availability",IF(H111="","Missing offer",IF(L111="","Missing course URL",IF(ISERROR(SEARCH("https://www.keele.ac.uk/",L111)),"Non-Keele URL",IF(AND(D111="Foundation year",ISERROR(SEARCH("#foundationyear",L111))),"FY URL missing #foundationyear",IF(M111="","Missing display status",IF(N111="","Missing review date",IF(O111="","Missing owner",IF(P111="","Missing change note","OK")))))))))))))</x:f>
        <x:v>OK</x:v>
      </x:c>
    </x:row>
    <x:row r="112">
      <x:c r="A112" s="33" t="str">
        <x:v>2026-P301-UG</x:v>
      </x:c>
      <x:c r="B112" s="37" t="n">
        <x:v>2026</x:v>
      </x:c>
      <x:c r="C112" s="35" t="str">
        <x:v>Digital Media</x:v>
      </x:c>
      <x:c r="D112" s="33" t="str">
        <x:v>Undergraduate</x:v>
      </x:c>
      <x:c r="E112" s="33" t="str">
        <x:v>Vacancies</x:v>
      </x:c>
      <x:c r="F112" s="33" t="str">
        <x:v>P301</x:v>
      </x:c>
      <x:c r="G112" s="33" t="str">
        <x:v>BA (Hons)</x:v>
      </x:c>
      <x:c r="H112" s="35" t="str">
        <x:v>64 UCAS tariff points</x:v>
      </x:c>
      <x:c r="I112" s="35" t="str">
        <x:v>No</x:v>
      </x:c>
      <x:c r="J112" s="35" t="str">
        <x:v>Most undergraduate courses require GCSE English Language at grade 4/C or equivalent. Some courses also require GCSE Mathematics at grade 4/C or equivalent.</x:v>
      </x:c>
      <x:c r="K112" s="35" t="str">
        <x:v>https://www.keele.ac.uk/clearing/entry-requirements/</x:v>
      </x:c>
      <x:c r="L112" s="35" t="str">
        <x:v>https://www.keele.ac.uk/study/undergraduate-2026/undergraduatecourses/digitalmedia/</x:v>
      </x:c>
      <x:c r="M112" s="33" t="str">
        <x:v>Yes</x:v>
      </x:c>
      <x:c r="N112" s="38" t="n">
        <x:v>46195</x:v>
      </x:c>
      <x:c r="O112" s="35" t="str">
        <x:v>Clearing content team</x:v>
      </x:c>
      <x:c r="P112" s="35" t="str">
        <x:v>Initial import from Clearing vacancies and ER page for 2026.docx</x:v>
      </x:c>
      <x:c r="Q112" s="36" t="str">
        <x:f>IF(A112="","Missing ID",IF(COUNTIF($A$5:$A$1000,A112)&gt;1,"Duplicate ID",IF(C112="","Missing title",IF(D112="","Missing type",IF(E112="","Missing availability",IF(H112="","Missing offer",IF(L112="","Missing course URL",IF(ISERROR(SEARCH("https://www.keele.ac.uk/",L112)),"Non-Keele URL",IF(AND(D112="Foundation year",ISERROR(SEARCH("#foundationyear",L112))),"FY URL missing #foundationyear",IF(M112="","Missing display status",IF(N112="","Missing review date",IF(O112="","Missing owner",IF(P112="","Missing change note","OK")))))))))))))</x:f>
        <x:v>OK</x:v>
      </x:c>
    </x:row>
    <x:row r="113">
      <x:c r="A113" s="33" t="str">
        <x:v>2026-P3N5-UG</x:v>
      </x:c>
      <x:c r="B113" s="37" t="n">
        <x:v>2026</x:v>
      </x:c>
      <x:c r="C113" s="35" t="str">
        <x:v>Digital Media and Marketing</x:v>
      </x:c>
      <x:c r="D113" s="33" t="str">
        <x:v>Undergraduate</x:v>
      </x:c>
      <x:c r="E113" s="33" t="str">
        <x:v>Vacancies</x:v>
      </x:c>
      <x:c r="F113" s="33" t="str">
        <x:v>P3N5</x:v>
      </x:c>
      <x:c r="G113" s="33" t="str">
        <x:v>BA (Hons)</x:v>
      </x:c>
      <x:c r="H113" s="35" t="str">
        <x:v>64 UCAS tariff points</x:v>
      </x:c>
      <x:c r="I113" s="35" t="str">
        <x:v>No</x:v>
      </x:c>
      <x:c r="J113" s="35" t="str">
        <x:v>Most undergraduate courses require GCSE English Language at grade 4/C or equivalent. Some courses also require GCSE Mathematics at grade 4/C or equivalent.</x:v>
      </x:c>
      <x:c r="K113" s="35" t="str">
        <x:v>https://www.keele.ac.uk/clearing/entry-requirements/</x:v>
      </x:c>
      <x:c r="L113" s="35" t="str">
        <x:v>https://www.keele.ac.uk/study/undergraduate-2026/undergraduatecourses/digitalmediaandmarketing/</x:v>
      </x:c>
      <x:c r="M113" s="33" t="str">
        <x:v>Yes</x:v>
      </x:c>
      <x:c r="N113" s="38" t="n">
        <x:v>46195</x:v>
      </x:c>
      <x:c r="O113" s="35" t="str">
        <x:v>Clearing content team</x:v>
      </x:c>
      <x:c r="P113" s="35" t="str">
        <x:v>Initial import from Clearing vacancies and ER page for 2026.docx</x:v>
      </x:c>
      <x:c r="Q113" s="36" t="str">
        <x:f>IF(A113="","Missing ID",IF(COUNTIF($A$5:$A$1000,A113)&gt;1,"Duplicate ID",IF(C113="","Missing title",IF(D113="","Missing type",IF(E113="","Missing availability",IF(H113="","Missing offer",IF(L113="","Missing course URL",IF(ISERROR(SEARCH("https://www.keele.ac.uk/",L113)),"Non-Keele URL",IF(AND(D113="Foundation year",ISERROR(SEARCH("#foundationyear",L113))),"FY URL missing #foundationyear",IF(M113="","Missing display status",IF(N113="","Missing review date",IF(O113="","Missing owner",IF(P113="","Missing change note","OK")))))))))))))</x:f>
        <x:v>OK</x:v>
      </x:c>
    </x:row>
    <x:row r="114">
      <x:c r="A114" s="33" t="str">
        <x:v>2026-digitalmediaandmarketing-FY</x:v>
      </x:c>
      <x:c r="B114" s="37" t="n">
        <x:v>2026</x:v>
      </x:c>
      <x:c r="C114" s="35" t="str">
        <x:v>Digital Media and Marketing with Foundation Year</x:v>
      </x:c>
      <x:c r="D114" s="33" t="str">
        <x:v>Foundation year</x:v>
      </x:c>
      <x:c r="E114" s="33" t="str">
        <x:v>Vacancies</x:v>
      </x:c>
      <x:c r="F114" s="33" t="str"/>
      <x:c r="G114" s="33" t="str"/>
      <x:c r="H114" s="35" t="str">
        <x:v>Course-specific</x:v>
      </x:c>
      <x:c r="I114" s="35" t="str">
        <x:v>No</x:v>
      </x:c>
      <x:c r="J114" s="35" t="str">
        <x:v>Foundation Year requirements vary by course. View the full course details or call 01782 491120 to discuss your qualifications.</x:v>
      </x:c>
      <x:c r="K114" s="35" t="str">
        <x:v>https://www.keele.ac.uk/clearing/entry-requirements/</x:v>
      </x:c>
      <x:c r="L114" s="35" t="str">
        <x:v>https://www.keele.ac.uk/study/undergraduate-2026/undergraduatecourses/digitalmediaandmarketing/#foundationyear</x:v>
      </x:c>
      <x:c r="M114" s="33" t="str">
        <x:v>Yes</x:v>
      </x:c>
      <x:c r="N114" s="38" t="n">
        <x:v>46195</x:v>
      </x:c>
      <x:c r="O114" s="35" t="str">
        <x:v>Clearing content team</x:v>
      </x:c>
      <x:c r="P114" s="35" t="str">
        <x:v>Initial import from Clearing vacancies and ER page for 2026.docx</x:v>
      </x:c>
      <x:c r="Q114" s="36" t="str">
        <x:f>IF(A114="","Missing ID",IF(COUNTIF($A$5:$A$1000,A114)&gt;1,"Duplicate ID",IF(C114="","Missing title",IF(D114="","Missing type",IF(E114="","Missing availability",IF(H114="","Missing offer",IF(L114="","Missing course URL",IF(ISERROR(SEARCH("https://www.keele.ac.uk/",L114)),"Non-Keele URL",IF(AND(D114="Foundation year",ISERROR(SEARCH("#foundationyear",L114))),"FY URL missing #foundationyear",IF(M114="","Missing display status",IF(N114="","Missing review date",IF(O114="","Missing owner",IF(P114="","Missing change note","OK")))))))))))))</x:f>
        <x:v>OK</x:v>
      </x:c>
    </x:row>
    <x:row r="115">
      <x:c r="A115" s="33" t="str">
        <x:v>2026-P4J0-UG</x:v>
      </x:c>
      <x:c r="B115" s="37" t="n">
        <x:v>2026</x:v>
      </x:c>
      <x:c r="C115" s="35" t="str">
        <x:v>Digital Media and Music Production</x:v>
      </x:c>
      <x:c r="D115" s="33" t="str">
        <x:v>Undergraduate</x:v>
      </x:c>
      <x:c r="E115" s="33" t="str">
        <x:v>Vacancies</x:v>
      </x:c>
      <x:c r="F115" s="33" t="str">
        <x:v>P4J0</x:v>
      </x:c>
      <x:c r="G115" s="33" t="str">
        <x:v>BA (Hons)</x:v>
      </x:c>
      <x:c r="H115" s="35" t="str">
        <x:v>64 UCAS tariff points</x:v>
      </x:c>
      <x:c r="I115" s="35" t="str">
        <x:v>No</x:v>
      </x:c>
      <x:c r="J115" s="35" t="str">
        <x:v>Most undergraduate courses require GCSE English Language at grade 4/C or equivalent. Some courses also require GCSE Mathematics at grade 4/C or equivalent.</x:v>
      </x:c>
      <x:c r="K115" s="35" t="str">
        <x:v>https://www.keele.ac.uk/clearing/entry-requirements/</x:v>
      </x:c>
      <x:c r="L115" s="35" t="str">
        <x:v>https://www.keele.ac.uk/study/undergraduate-2026/undergraduatecourses/digitalmediaandmusicproduction/</x:v>
      </x:c>
      <x:c r="M115" s="33" t="str">
        <x:v>Yes</x:v>
      </x:c>
      <x:c r="N115" s="38" t="n">
        <x:v>46195</x:v>
      </x:c>
      <x:c r="O115" s="35" t="str">
        <x:v>Clearing content team</x:v>
      </x:c>
      <x:c r="P115" s="35" t="str">
        <x:v>Initial import from Clearing vacancies and ER page for 2026.docx</x:v>
      </x:c>
      <x:c r="Q115" s="36" t="str">
        <x:f>IF(A115="","Missing ID",IF(COUNTIF($A$5:$A$1000,A115)&gt;1,"Duplicate ID",IF(C115="","Missing title",IF(D115="","Missing type",IF(E115="","Missing availability",IF(H115="","Missing offer",IF(L115="","Missing course URL",IF(ISERROR(SEARCH("https://www.keele.ac.uk/",L115)),"Non-Keele URL",IF(AND(D115="Foundation year",ISERROR(SEARCH("#foundationyear",L115))),"FY URL missing #foundationyear",IF(M115="","Missing display status",IF(N115="","Missing review date",IF(O115="","Missing owner",IF(P115="","Missing change note","OK")))))))))))))</x:f>
        <x:v>OK</x:v>
      </x:c>
    </x:row>
    <x:row r="116">
      <x:c r="A116" s="33" t="str">
        <x:v>2026-digitalmediaandmusicproduction-FY</x:v>
      </x:c>
      <x:c r="B116" s="37" t="n">
        <x:v>2026</x:v>
      </x:c>
      <x:c r="C116" s="35" t="str">
        <x:v>Digital Media and Music Production with Foundation Year</x:v>
      </x:c>
      <x:c r="D116" s="33" t="str">
        <x:v>Foundation year</x:v>
      </x:c>
      <x:c r="E116" s="33" t="str">
        <x:v>Vacancies</x:v>
      </x:c>
      <x:c r="F116" s="33" t="str"/>
      <x:c r="G116" s="33" t="str"/>
      <x:c r="H116" s="35" t="str">
        <x:v>Course-specific</x:v>
      </x:c>
      <x:c r="I116" s="35" t="str">
        <x:v>No</x:v>
      </x:c>
      <x:c r="J116" s="35" t="str">
        <x:v>Foundation Year requirements vary by course. View the full course details or call 01782 491120 to discuss your qualifications.</x:v>
      </x:c>
      <x:c r="K116" s="35" t="str">
        <x:v>https://www.keele.ac.uk/clearing/entry-requirements/</x:v>
      </x:c>
      <x:c r="L116" s="35" t="str">
        <x:v>https://www.keele.ac.uk/study/undergraduate-2026/undergraduatecourses/digitalmediaandmusicproduction/#foundationyear</x:v>
      </x:c>
      <x:c r="M116" s="33" t="str">
        <x:v>Yes</x:v>
      </x:c>
      <x:c r="N116" s="38" t="n">
        <x:v>46195</x:v>
      </x:c>
      <x:c r="O116" s="35" t="str">
        <x:v>Clearing content team</x:v>
      </x:c>
      <x:c r="P116" s="35" t="str">
        <x:v>Initial import from Clearing vacancies and ER page for 2026.docx</x:v>
      </x:c>
      <x:c r="Q116" s="36" t="str">
        <x:f>IF(A116="","Missing ID",IF(COUNTIF($A$5:$A$1000,A116)&gt;1,"Duplicate ID",IF(C116="","Missing title",IF(D116="","Missing type",IF(E116="","Missing availability",IF(H116="","Missing offer",IF(L116="","Missing course URL",IF(ISERROR(SEARCH("https://www.keele.ac.uk/",L116)),"Non-Keele URL",IF(AND(D116="Foundation year",ISERROR(SEARCH("#foundationyear",L116))),"FY URL missing #foundationyear",IF(M116="","Missing display status",IF(N116="","Missing review date",IF(O116="","Missing owner",IF(P116="","Missing change note","OK")))))))))))))</x:f>
        <x:v>OK</x:v>
      </x:c>
    </x:row>
    <x:row r="117">
      <x:c r="A117" s="33" t="str">
        <x:v>2026-P3L3-UG</x:v>
      </x:c>
      <x:c r="B117" s="37" t="n">
        <x:v>2026</x:v>
      </x:c>
      <x:c r="C117" s="35" t="str">
        <x:v>Digital Media and Sociology</x:v>
      </x:c>
      <x:c r="D117" s="33" t="str">
        <x:v>Undergraduate</x:v>
      </x:c>
      <x:c r="E117" s="33" t="str">
        <x:v>Vacancies</x:v>
      </x:c>
      <x:c r="F117" s="33" t="str">
        <x:v>P3L3</x:v>
      </x:c>
      <x:c r="G117" s="33" t="str">
        <x:v>BA (Hons)</x:v>
      </x:c>
      <x:c r="H117" s="35" t="str">
        <x:v>64 UCAS tariff points</x:v>
      </x:c>
      <x:c r="I117" s="35" t="str">
        <x:v>No</x:v>
      </x:c>
      <x:c r="J117" s="35" t="str">
        <x:v>Most undergraduate courses require GCSE English Language at grade 4/C or equivalent. Some courses also require GCSE Mathematics at grade 4/C or equivalent.</x:v>
      </x:c>
      <x:c r="K117" s="35" t="str">
        <x:v>https://www.keele.ac.uk/clearing/entry-requirements/</x:v>
      </x:c>
      <x:c r="L117" s="35" t="str">
        <x:v>https://www.keele.ac.uk/study/undergraduate-2026/undergraduatecourses/digitalmediaandsociology/</x:v>
      </x:c>
      <x:c r="M117" s="33" t="str">
        <x:v>Yes</x:v>
      </x:c>
      <x:c r="N117" s="38" t="n">
        <x:v>46195</x:v>
      </x:c>
      <x:c r="O117" s="35" t="str">
        <x:v>Clearing content team</x:v>
      </x:c>
      <x:c r="P117" s="35" t="str">
        <x:v>Initial import from Clearing vacancies and ER page for 2026.docx</x:v>
      </x:c>
      <x:c r="Q117" s="36" t="str">
        <x:f>IF(A117="","Missing ID",IF(COUNTIF($A$5:$A$1000,A117)&gt;1,"Duplicate ID",IF(C117="","Missing title",IF(D117="","Missing type",IF(E117="","Missing availability",IF(H117="","Missing offer",IF(L117="","Missing course URL",IF(ISERROR(SEARCH("https://www.keele.ac.uk/",L117)),"Non-Keele URL",IF(AND(D117="Foundation year",ISERROR(SEARCH("#foundationyear",L117))),"FY URL missing #foundationyear",IF(M117="","Missing display status",IF(N117="","Missing review date",IF(O117="","Missing owner",IF(P117="","Missing change note","OK")))))))))))))</x:f>
        <x:v>OK</x:v>
      </x:c>
    </x:row>
    <x:row r="118">
      <x:c r="A118" s="33" t="str">
        <x:v>2026-digitalmediaandsociology-FY</x:v>
      </x:c>
      <x:c r="B118" s="37" t="n">
        <x:v>2026</x:v>
      </x:c>
      <x:c r="C118" s="35" t="str">
        <x:v>Digital Media and Sociology with Foundation Year</x:v>
      </x:c>
      <x:c r="D118" s="33" t="str">
        <x:v>Foundation year</x:v>
      </x:c>
      <x:c r="E118" s="33" t="str">
        <x:v>Vacancies</x:v>
      </x:c>
      <x:c r="F118" s="33" t="str"/>
      <x:c r="G118" s="33" t="str"/>
      <x:c r="H118" s="35" t="str">
        <x:v>Course-specific</x:v>
      </x:c>
      <x:c r="I118" s="35" t="str">
        <x:v>No</x:v>
      </x:c>
      <x:c r="J118" s="35" t="str">
        <x:v>Foundation Year requirements vary by course. View the full course details or call 01782 491120 to discuss your qualifications.</x:v>
      </x:c>
      <x:c r="K118" s="35" t="str">
        <x:v>https://www.keele.ac.uk/clearing/entry-requirements/</x:v>
      </x:c>
      <x:c r="L118" s="35" t="str">
        <x:v>https://www.keele.ac.uk/study/undergraduate-2026/undergraduatecourses/digitalmediaandsociology/#foundationyear</x:v>
      </x:c>
      <x:c r="M118" s="33" t="str">
        <x:v>Yes</x:v>
      </x:c>
      <x:c r="N118" s="38" t="n">
        <x:v>46195</x:v>
      </x:c>
      <x:c r="O118" s="35" t="str">
        <x:v>Clearing content team</x:v>
      </x:c>
      <x:c r="P118" s="35" t="str">
        <x:v>Initial import from Clearing vacancies and ER page for 2026.docx</x:v>
      </x:c>
      <x:c r="Q118" s="36" t="str">
        <x:f>IF(A118="","Missing ID",IF(COUNTIF($A$5:$A$1000,A118)&gt;1,"Duplicate ID",IF(C118="","Missing title",IF(D118="","Missing type",IF(E118="","Missing availability",IF(H118="","Missing offer",IF(L118="","Missing course URL",IF(ISERROR(SEARCH("https://www.keele.ac.uk/",L118)),"Non-Keele URL",IF(AND(D118="Foundation year",ISERROR(SEARCH("#foundationyear",L118))),"FY URL missing #foundationyear",IF(M118="","Missing display status",IF(N118="","Missing review date",IF(O118="","Missing owner",IF(P118="","Missing change note","OK")))))))))))))</x:f>
        <x:v>OK</x:v>
      </x:c>
    </x:row>
    <x:row r="119">
      <x:c r="A119" s="33" t="str">
        <x:v>2026-digitalmedia-FY</x:v>
      </x:c>
      <x:c r="B119" s="37" t="n">
        <x:v>2026</x:v>
      </x:c>
      <x:c r="C119" s="35" t="str">
        <x:v>Digital Media with Foundation Year</x:v>
      </x:c>
      <x:c r="D119" s="33" t="str">
        <x:v>Foundation year</x:v>
      </x:c>
      <x:c r="E119" s="33" t="str">
        <x:v>Vacancies</x:v>
      </x:c>
      <x:c r="F119" s="33" t="str"/>
      <x:c r="G119" s="33" t="str"/>
      <x:c r="H119" s="35" t="str">
        <x:v>Course-specific</x:v>
      </x:c>
      <x:c r="I119" s="35" t="str">
        <x:v>No</x:v>
      </x:c>
      <x:c r="J119" s="35" t="str">
        <x:v>Foundation Year requirements vary by course. View the full course details or call 01782 491120 to discuss your qualifications.</x:v>
      </x:c>
      <x:c r="K119" s="35" t="str">
        <x:v>https://www.keele.ac.uk/clearing/entry-requirements/</x:v>
      </x:c>
      <x:c r="L119" s="35" t="str">
        <x:v>https://www.keele.ac.uk/study/undergraduate-2026/undergraduatecourses/digitalmedia/#foundationyear</x:v>
      </x:c>
      <x:c r="M119" s="33" t="str">
        <x:v>Yes</x:v>
      </x:c>
      <x:c r="N119" s="38" t="n">
        <x:v>46195</x:v>
      </x:c>
      <x:c r="O119" s="35" t="str">
        <x:v>Clearing content team</x:v>
      </x:c>
      <x:c r="P119" s="35" t="str">
        <x:v>Initial import from Clearing vacancies and ER page for 2026.docx</x:v>
      </x:c>
      <x:c r="Q119" s="36" t="str">
        <x:f>IF(A119="","Missing ID",IF(COUNTIF($A$5:$A$1000,A119)&gt;1,"Duplicate ID",IF(C119="","Missing title",IF(D119="","Missing type",IF(E119="","Missing availability",IF(H119="","Missing offer",IF(L119="","Missing course URL",IF(ISERROR(SEARCH("https://www.keele.ac.uk/",L119)),"Non-Keele URL",IF(AND(D119="Foundation year",ISERROR(SEARCH("#foundationyear",L119))),"FY URL missing #foundationyear",IF(M119="","Missing display status",IF(N119="","Missing review date",IF(O119="","Missing owner",IF(P119="","Missing change note","OK")))))))))))))</x:f>
        <x:v>OK</x:v>
      </x:c>
    </x:row>
    <x:row r="120">
      <x:c r="A120" s="33" t="str">
        <x:v>2026-C180-UG</x:v>
      </x:c>
      <x:c r="B120" s="37" t="n">
        <x:v>2026</x:v>
      </x:c>
      <x:c r="C120" s="35" t="str">
        <x:v>Ecology and Conservation</x:v>
      </x:c>
      <x:c r="D120" s="33" t="str">
        <x:v>Undergraduate</x:v>
      </x:c>
      <x:c r="E120" s="33" t="str">
        <x:v>Vacancies</x:v>
      </x:c>
      <x:c r="F120" s="33" t="str">
        <x:v>C180</x:v>
      </x:c>
      <x:c r="G120" s="33" t="str">
        <x:v>BSc (Hons)</x:v>
      </x:c>
      <x:c r="H120" s="35" t="str">
        <x:v>64 UCAS tariff points</x:v>
      </x:c>
      <x:c r="I120" s="35" t="str">
        <x:v>No</x:v>
      </x:c>
      <x:c r="J120" s="35" t="str">
        <x:v>Most undergraduate courses require GCSE English Language at grade 4/C or equivalent. Some courses also require GCSE Mathematics at grade 4/C or equivalent.</x:v>
      </x:c>
      <x:c r="K120" s="35" t="str">
        <x:v>https://www.keele.ac.uk/clearing/entry-requirements/</x:v>
      </x:c>
      <x:c r="L120" s="35" t="str">
        <x:v>https://www.keele.ac.uk/study/undergraduate-2026/undergraduatecourses/ecologyandconservation/</x:v>
      </x:c>
      <x:c r="M120" s="33" t="str">
        <x:v>Yes</x:v>
      </x:c>
      <x:c r="N120" s="38" t="n">
        <x:v>46195</x:v>
      </x:c>
      <x:c r="O120" s="35" t="str">
        <x:v>Clearing content team</x:v>
      </x:c>
      <x:c r="P120" s="35" t="str">
        <x:v>Initial import from Clearing vacancies and ER page for 2026.docx</x:v>
      </x:c>
      <x:c r="Q120" s="36" t="str">
        <x:f>IF(A120="","Missing ID",IF(COUNTIF($A$5:$A$1000,A120)&gt;1,"Duplicate ID",IF(C120="","Missing title",IF(D120="","Missing type",IF(E120="","Missing availability",IF(H120="","Missing offer",IF(L120="","Missing course URL",IF(ISERROR(SEARCH("https://www.keele.ac.uk/",L120)),"Non-Keele URL",IF(AND(D120="Foundation year",ISERROR(SEARCH("#foundationyear",L120))),"FY URL missing #foundationyear",IF(M120="","Missing display status",IF(N120="","Missing review date",IF(O120="","Missing owner",IF(P120="","Missing change note","OK")))))))))))))</x:f>
        <x:v>OK</x:v>
      </x:c>
    </x:row>
    <x:row r="121">
      <x:c r="A121" s="33" t="str">
        <x:v>2026-ecologyandconservation-FY</x:v>
      </x:c>
      <x:c r="B121" s="37" t="n">
        <x:v>2026</x:v>
      </x:c>
      <x:c r="C121" s="35" t="str">
        <x:v>Ecology and Conservation with Foundation Year</x:v>
      </x:c>
      <x:c r="D121" s="33" t="str">
        <x:v>Foundation year</x:v>
      </x:c>
      <x:c r="E121" s="33" t="str">
        <x:v>Vacancies</x:v>
      </x:c>
      <x:c r="F121" s="33" t="str"/>
      <x:c r="G121" s="33" t="str"/>
      <x:c r="H121" s="35" t="str">
        <x:v>Course-specific</x:v>
      </x:c>
      <x:c r="I121" s="35" t="str">
        <x:v>No</x:v>
      </x:c>
      <x:c r="J121" s="35" t="str">
        <x:v>Foundation Year requirements vary by course. View the full course details or call 01782 491120 to discuss your qualifications.</x:v>
      </x:c>
      <x:c r="K121" s="35" t="str">
        <x:v>https://www.keele.ac.uk/clearing/entry-requirements/</x:v>
      </x:c>
      <x:c r="L121" s="35" t="str">
        <x:v>https://www.keele.ac.uk/study/undergraduate-2026/undergraduatecourses/ecologyandconservation/#foundationyear</x:v>
      </x:c>
      <x:c r="M121" s="33" t="str">
        <x:v>Yes</x:v>
      </x:c>
      <x:c r="N121" s="38" t="n">
        <x:v>46195</x:v>
      </x:c>
      <x:c r="O121" s="35" t="str">
        <x:v>Clearing content team</x:v>
      </x:c>
      <x:c r="P121" s="35" t="str">
        <x:v>Initial import from Clearing vacancies and ER page for 2026.docx</x:v>
      </x:c>
      <x:c r="Q121" s="36" t="str">
        <x:f>IF(A121="","Missing ID",IF(COUNTIF($A$5:$A$1000,A121)&gt;1,"Duplicate ID",IF(C121="","Missing title",IF(D121="","Missing type",IF(E121="","Missing availability",IF(H121="","Missing offer",IF(L121="","Missing course URL",IF(ISERROR(SEARCH("https://www.keele.ac.uk/",L121)),"Non-Keele URL",IF(AND(D121="Foundation year",ISERROR(SEARCH("#foundationyear",L121))),"FY URL missing #foundationyear",IF(M121="","Missing display status",IF(N121="","Missing review date",IF(O121="","Missing owner",IF(P121="","Missing change note","OK")))))))))))))</x:f>
        <x:v>OK</x:v>
      </x:c>
    </x:row>
    <x:row r="122">
      <x:c r="A122" s="33" t="str">
        <x:v>2026-C181-UG</x:v>
      </x:c>
      <x:c r="B122" s="37" t="n">
        <x:v>2026</x:v>
      </x:c>
      <x:c r="C122" s="35" t="str">
        <x:v>Ecology and Conservation with Integrated Master's</x:v>
      </x:c>
      <x:c r="D122" s="33" t="str">
        <x:v>Undergraduate</x:v>
      </x:c>
      <x:c r="E122" s="33" t="str">
        <x:v>Vacancies</x:v>
      </x:c>
      <x:c r="F122" s="33" t="str">
        <x:v>C181</x:v>
      </x:c>
      <x:c r="G122" s="33" t="str">
        <x:v>MSci</x:v>
      </x:c>
      <x:c r="H122" s="35" t="str">
        <x:v>64 UCAS tariff points</x:v>
      </x:c>
      <x:c r="I122" s="35" t="str">
        <x:v>No</x:v>
      </x:c>
      <x:c r="J122" s="35" t="str">
        <x:v>Most undergraduate courses require GCSE English Language at grade 4/C or equivalent. Some courses also require GCSE Mathematics at grade 4/C or equivalent.</x:v>
      </x:c>
      <x:c r="K122" s="35" t="str">
        <x:v>https://www.keele.ac.uk/clearing/entry-requirements/</x:v>
      </x:c>
      <x:c r="L122" s="35" t="str">
        <x:v>https://www.keele.ac.uk/study/undergraduate-2026/undergraduatecourses/ecologyandconservationwithintegratedmasters/</x:v>
      </x:c>
      <x:c r="M122" s="33" t="str">
        <x:v>Yes</x:v>
      </x:c>
      <x:c r="N122" s="38" t="n">
        <x:v>46195</x:v>
      </x:c>
      <x:c r="O122" s="35" t="str">
        <x:v>Clearing content team</x:v>
      </x:c>
      <x:c r="P122" s="35" t="str">
        <x:v>Initial import from Clearing vacancies and ER page for 2026.docx</x:v>
      </x:c>
      <x:c r="Q122" s="36" t="str">
        <x:f>IF(A122="","Missing ID",IF(COUNTIF($A$5:$A$1000,A122)&gt;1,"Duplicate ID",IF(C122="","Missing title",IF(D122="","Missing type",IF(E122="","Missing availability",IF(H122="","Missing offer",IF(L122="","Missing course URL",IF(ISERROR(SEARCH("https://www.keele.ac.uk/",L122)),"Non-Keele URL",IF(AND(D122="Foundation year",ISERROR(SEARCH("#foundationyear",L122))),"FY URL missing #foundationyear",IF(M122="","Missing display status",IF(N122="","Missing review date",IF(O122="","Missing owner",IF(P122="","Missing change note","OK")))))))))))))</x:f>
        <x:v>OK</x:v>
      </x:c>
    </x:row>
    <x:row r="123">
      <x:c r="A123" s="33" t="str">
        <x:v>2026-ecologyandconservationwithintegratedmasters-FY</x:v>
      </x:c>
      <x:c r="B123" s="37" t="n">
        <x:v>2026</x:v>
      </x:c>
      <x:c r="C123" s="35" t="str">
        <x:v>Ecology and Conservation with Integrated Master's with Foundation Year</x:v>
      </x:c>
      <x:c r="D123" s="33" t="str">
        <x:v>Foundation year</x:v>
      </x:c>
      <x:c r="E123" s="33" t="str">
        <x:v>Vacancies</x:v>
      </x:c>
      <x:c r="F123" s="33" t="str"/>
      <x:c r="G123" s="33" t="str"/>
      <x:c r="H123" s="35" t="str">
        <x:v>Course-specific</x:v>
      </x:c>
      <x:c r="I123" s="35" t="str">
        <x:v>No</x:v>
      </x:c>
      <x:c r="J123" s="35" t="str">
        <x:v>Foundation Year requirements vary by course. View the full course details or call 01782 491120 to discuss your qualifications.</x:v>
      </x:c>
      <x:c r="K123" s="35" t="str">
        <x:v>https://www.keele.ac.uk/clearing/entry-requirements/</x:v>
      </x:c>
      <x:c r="L123" s="35" t="str">
        <x:v>https://www.keele.ac.uk/study/undergraduate-2026/undergraduatecourses/ecologyandconservationwithintegratedmasters/#foundationyear</x:v>
      </x:c>
      <x:c r="M123" s="33" t="str">
        <x:v>Yes</x:v>
      </x:c>
      <x:c r="N123" s="38" t="n">
        <x:v>46195</x:v>
      </x:c>
      <x:c r="O123" s="35" t="str">
        <x:v>Clearing content team</x:v>
      </x:c>
      <x:c r="P123" s="35" t="str">
        <x:v>Initial import from Clearing vacancies and ER page for 2026.docx</x:v>
      </x:c>
      <x:c r="Q123" s="36" t="str">
        <x:f>IF(A123="","Missing ID",IF(COUNTIF($A$5:$A$1000,A123)&gt;1,"Duplicate ID",IF(C123="","Missing title",IF(D123="","Missing type",IF(E123="","Missing availability",IF(H123="","Missing offer",IF(L123="","Missing course URL",IF(ISERROR(SEARCH("https://www.keele.ac.uk/",L123)),"Non-Keele URL",IF(AND(D123="Foundation year",ISERROR(SEARCH("#foundationyear",L123))),"FY URL missing #foundationyear",IF(M123="","Missing display status",IF(N123="","Missing review date",IF(O123="","Missing owner",IF(P123="","Missing change note","OK")))))))))))))</x:f>
        <x:v>OK</x:v>
      </x:c>
    </x:row>
    <x:row r="124">
      <x:c r="A124" s="33" t="str">
        <x:v>2026-LN13-UG</x:v>
      </x:c>
      <x:c r="B124" s="37" t="n">
        <x:v>2026</x:v>
      </x:c>
      <x:c r="C124" s="35" t="str">
        <x:v>Economics and Finance</x:v>
      </x:c>
      <x:c r="D124" s="33" t="str">
        <x:v>Undergraduate</x:v>
      </x:c>
      <x:c r="E124" s="33" t="str">
        <x:v>Vacancies</x:v>
      </x:c>
      <x:c r="F124" s="33" t="str">
        <x:v>LN13</x:v>
      </x:c>
      <x:c r="G124" s="33" t="str">
        <x:v>BSc (Hons)</x:v>
      </x:c>
      <x:c r="H124" s="35" t="str">
        <x:v>64 UCAS tariff points</x:v>
      </x:c>
      <x:c r="I124" s="35" t="str">
        <x:v>No</x:v>
      </x:c>
      <x:c r="J124" s="35" t="str">
        <x:v>Most undergraduate courses require GCSE English Language at grade 4/C or equivalent. Some courses also require GCSE Mathematics at grade 4/C or equivalent.</x:v>
      </x:c>
      <x:c r="K124" s="35" t="str">
        <x:v>https://www.keele.ac.uk/clearing/entry-requirements/</x:v>
      </x:c>
      <x:c r="L124" s="35" t="str">
        <x:v>https://www.keele.ac.uk/study/undergraduate-2026/undergraduatecourses/economicsandfinance/</x:v>
      </x:c>
      <x:c r="M124" s="33" t="str">
        <x:v>Yes</x:v>
      </x:c>
      <x:c r="N124" s="38" t="n">
        <x:v>46195</x:v>
      </x:c>
      <x:c r="O124" s="35" t="str">
        <x:v>Clearing content team</x:v>
      </x:c>
      <x:c r="P124" s="35" t="str">
        <x:v>Initial import from Clearing vacancies and ER page for 2026.docx</x:v>
      </x:c>
      <x:c r="Q124" s="36" t="str">
        <x:f>IF(A124="","Missing ID",IF(COUNTIF($A$5:$A$1000,A124)&gt;1,"Duplicate ID",IF(C124="","Missing title",IF(D124="","Missing type",IF(E124="","Missing availability",IF(H124="","Missing offer",IF(L124="","Missing course URL",IF(ISERROR(SEARCH("https://www.keele.ac.uk/",L124)),"Non-Keele URL",IF(AND(D124="Foundation year",ISERROR(SEARCH("#foundationyear",L124))),"FY URL missing #foundationyear",IF(M124="","Missing display status",IF(N124="","Missing review date",IF(O124="","Missing owner",IF(P124="","Missing change note","OK")))))))))))))</x:f>
        <x:v>OK</x:v>
      </x:c>
    </x:row>
    <x:row r="125">
      <x:c r="A125" s="33" t="str">
        <x:v>2026-economicsandfinance-FY</x:v>
      </x:c>
      <x:c r="B125" s="37" t="n">
        <x:v>2026</x:v>
      </x:c>
      <x:c r="C125" s="35" t="str">
        <x:v>Economics and Finance with Foundation Year</x:v>
      </x:c>
      <x:c r="D125" s="33" t="str">
        <x:v>Foundation year</x:v>
      </x:c>
      <x:c r="E125" s="33" t="str">
        <x:v>Vacancies</x:v>
      </x:c>
      <x:c r="F125" s="33" t="str"/>
      <x:c r="G125" s="33" t="str"/>
      <x:c r="H125" s="35" t="str">
        <x:v>Course-specific</x:v>
      </x:c>
      <x:c r="I125" s="35" t="str">
        <x:v>No</x:v>
      </x:c>
      <x:c r="J125" s="35" t="str">
        <x:v>Foundation Year requirements vary by course. View the full course details or call 01782 491120 to discuss your qualifications.</x:v>
      </x:c>
      <x:c r="K125" s="35" t="str">
        <x:v>https://www.keele.ac.uk/clearing/entry-requirements/</x:v>
      </x:c>
      <x:c r="L125" s="35" t="str">
        <x:v>https://www.keele.ac.uk/study/undergraduate-2026/undergraduatecourses/economicsandfinance/#foundationyear</x:v>
      </x:c>
      <x:c r="M125" s="33" t="str">
        <x:v>Yes</x:v>
      </x:c>
      <x:c r="N125" s="38" t="n">
        <x:v>46195</x:v>
      </x:c>
      <x:c r="O125" s="35" t="str">
        <x:v>Clearing content team</x:v>
      </x:c>
      <x:c r="P125" s="35" t="str">
        <x:v>Initial import from Clearing vacancies and ER page for 2026.docx</x:v>
      </x:c>
      <x:c r="Q125" s="36" t="str">
        <x:f>IF(A125="","Missing ID",IF(COUNTIF($A$5:$A$1000,A125)&gt;1,"Duplicate ID",IF(C125="","Missing title",IF(D125="","Missing type",IF(E125="","Missing availability",IF(H125="","Missing offer",IF(L125="","Missing course URL",IF(ISERROR(SEARCH("https://www.keele.ac.uk/",L125)),"Non-Keele URL",IF(AND(D125="Foundation year",ISERROR(SEARCH("#foundationyear",L125))),"FY URL missing #foundationyear",IF(M125="","Missing display status",IF(N125="","Missing review date",IF(O125="","Missing owner",IF(P125="","Missing change note","OK")))))))))))))</x:f>
        <x:v>OK</x:v>
      </x:c>
    </x:row>
    <x:row r="126">
      <x:c r="A126" s="33" t="str">
        <x:v>2026-LNC5-UG</x:v>
      </x:c>
      <x:c r="B126" s="37" t="n">
        <x:v>2026</x:v>
      </x:c>
      <x:c r="C126" s="35" t="str">
        <x:v>Economics BA</x:v>
      </x:c>
      <x:c r="D126" s="33" t="str">
        <x:v>Undergraduate</x:v>
      </x:c>
      <x:c r="E126" s="33" t="str">
        <x:v>Vacancies</x:v>
      </x:c>
      <x:c r="F126" s="33" t="str">
        <x:v>LNC5</x:v>
      </x:c>
      <x:c r="G126" s="33" t="str">
        <x:v>BA (Hons)</x:v>
      </x:c>
      <x:c r="H126" s="35" t="str">
        <x:v>64 UCAS tariff points</x:v>
      </x:c>
      <x:c r="I126" s="35" t="str">
        <x:v>No</x:v>
      </x:c>
      <x:c r="J126" s="35" t="str">
        <x:v>Most undergraduate courses require GCSE English Language at grade 4/C or equivalent. Some courses also require GCSE Mathematics at grade 4/C or equivalent.</x:v>
      </x:c>
      <x:c r="K126" s="35" t="str">
        <x:v>https://www.keele.ac.uk/clearing/entry-requirements/</x:v>
      </x:c>
      <x:c r="L126" s="35" t="str">
        <x:v>https://www.keele.ac.uk/study/undergraduate-2026/undergraduatecourses/economicsba/</x:v>
      </x:c>
      <x:c r="M126" s="33" t="str">
        <x:v>Yes</x:v>
      </x:c>
      <x:c r="N126" s="38" t="n">
        <x:v>46195</x:v>
      </x:c>
      <x:c r="O126" s="35" t="str">
        <x:v>Clearing content team</x:v>
      </x:c>
      <x:c r="P126" s="35" t="str">
        <x:v>Initial import from Clearing vacancies and ER page for 2026.docx</x:v>
      </x:c>
      <x:c r="Q126" s="36" t="str">
        <x:f>IF(A126="","Missing ID",IF(COUNTIF($A$5:$A$1000,A126)&gt;1,"Duplicate ID",IF(C126="","Missing title",IF(D126="","Missing type",IF(E126="","Missing availability",IF(H126="","Missing offer",IF(L126="","Missing course URL",IF(ISERROR(SEARCH("https://www.keele.ac.uk/",L126)),"Non-Keele URL",IF(AND(D126="Foundation year",ISERROR(SEARCH("#foundationyear",L126))),"FY URL missing #foundationyear",IF(M126="","Missing display status",IF(N126="","Missing review date",IF(O126="","Missing owner",IF(P126="","Missing change note","OK")))))))))))))</x:f>
        <x:v>OK</x:v>
      </x:c>
    </x:row>
    <x:row r="127">
      <x:c r="A127" s="33" t="str">
        <x:v>2026-economicsba-FY</x:v>
      </x:c>
      <x:c r="B127" s="37" t="n">
        <x:v>2026</x:v>
      </x:c>
      <x:c r="C127" s="35" t="str">
        <x:v>Economics BA with Foundation Year</x:v>
      </x:c>
      <x:c r="D127" s="33" t="str">
        <x:v>Foundation year</x:v>
      </x:c>
      <x:c r="E127" s="33" t="str">
        <x:v>Vacancies</x:v>
      </x:c>
      <x:c r="F127" s="33" t="str"/>
      <x:c r="G127" s="33" t="str"/>
      <x:c r="H127" s="35" t="str">
        <x:v>Course-specific</x:v>
      </x:c>
      <x:c r="I127" s="35" t="str">
        <x:v>No</x:v>
      </x:c>
      <x:c r="J127" s="35" t="str">
        <x:v>Foundation Year requirements vary by course. View the full course details or call 01782 491120 to discuss your qualifications.</x:v>
      </x:c>
      <x:c r="K127" s="35" t="str">
        <x:v>https://www.keele.ac.uk/clearing/entry-requirements/</x:v>
      </x:c>
      <x:c r="L127" s="35" t="str">
        <x:v>https://www.keele.ac.uk/study/undergraduate-2026/undergraduatecourses/economicsba/#foundationyear</x:v>
      </x:c>
      <x:c r="M127" s="33" t="str">
        <x:v>Yes</x:v>
      </x:c>
      <x:c r="N127" s="38" t="n">
        <x:v>46195</x:v>
      </x:c>
      <x:c r="O127" s="35" t="str">
        <x:v>Clearing content team</x:v>
      </x:c>
      <x:c r="P127" s="35" t="str">
        <x:v>Initial import from Clearing vacancies and ER page for 2026.docx</x:v>
      </x:c>
      <x:c r="Q127" s="36" t="str">
        <x:f>IF(A127="","Missing ID",IF(COUNTIF($A$5:$A$1000,A127)&gt;1,"Duplicate ID",IF(C127="","Missing title",IF(D127="","Missing type",IF(E127="","Missing availability",IF(H127="","Missing offer",IF(L127="","Missing course URL",IF(ISERROR(SEARCH("https://www.keele.ac.uk/",L127)),"Non-Keele URL",IF(AND(D127="Foundation year",ISERROR(SEARCH("#foundationyear",L127))),"FY URL missing #foundationyear",IF(M127="","Missing display status",IF(N127="","Missing review date",IF(O127="","Missing owner",IF(P127="","Missing change note","OK")))))))))))))</x:f>
        <x:v>OK</x:v>
      </x:c>
    </x:row>
    <x:row r="128">
      <x:c r="A128" s="33" t="str">
        <x:v>2026-LNC3-UG</x:v>
      </x:c>
      <x:c r="B128" s="37" t="n">
        <x:v>2026</x:v>
      </x:c>
      <x:c r="C128" s="35" t="str">
        <x:v>Economics BSc</x:v>
      </x:c>
      <x:c r="D128" s="33" t="str">
        <x:v>Undergraduate</x:v>
      </x:c>
      <x:c r="E128" s="33" t="str">
        <x:v>Vacancies</x:v>
      </x:c>
      <x:c r="F128" s="33" t="str">
        <x:v>LNC3</x:v>
      </x:c>
      <x:c r="G128" s="33" t="str">
        <x:v>BSc (Hons)</x:v>
      </x:c>
      <x:c r="H128" s="35" t="str">
        <x:v>64 UCAS tariff points</x:v>
      </x:c>
      <x:c r="I128" s="35" t="str">
        <x:v>No</x:v>
      </x:c>
      <x:c r="J128" s="35" t="str">
        <x:v>Most undergraduate courses require GCSE English Language at grade 4/C or equivalent. Some courses also require GCSE Mathematics at grade 4/C or equivalent.</x:v>
      </x:c>
      <x:c r="K128" s="35" t="str">
        <x:v>https://www.keele.ac.uk/clearing/entry-requirements/</x:v>
      </x:c>
      <x:c r="L128" s="35" t="str">
        <x:v>https://www.keele.ac.uk/study/undergraduate-2026/undergraduatecourses/economicsbsc/</x:v>
      </x:c>
      <x:c r="M128" s="33" t="str">
        <x:v>Yes</x:v>
      </x:c>
      <x:c r="N128" s="38" t="n">
        <x:v>46195</x:v>
      </x:c>
      <x:c r="O128" s="35" t="str">
        <x:v>Clearing content team</x:v>
      </x:c>
      <x:c r="P128" s="35" t="str">
        <x:v>Initial import from Clearing vacancies and ER page for 2026.docx</x:v>
      </x:c>
      <x:c r="Q128" s="36" t="str">
        <x:f>IF(A128="","Missing ID",IF(COUNTIF($A$5:$A$1000,A128)&gt;1,"Duplicate ID",IF(C128="","Missing title",IF(D128="","Missing type",IF(E128="","Missing availability",IF(H128="","Missing offer",IF(L128="","Missing course URL",IF(ISERROR(SEARCH("https://www.keele.ac.uk/",L128)),"Non-Keele URL",IF(AND(D128="Foundation year",ISERROR(SEARCH("#foundationyear",L128))),"FY URL missing #foundationyear",IF(M128="","Missing display status",IF(N128="","Missing review date",IF(O128="","Missing owner",IF(P128="","Missing change note","OK")))))))))))))</x:f>
        <x:v>OK</x:v>
      </x:c>
    </x:row>
    <x:row r="129">
      <x:c r="A129" s="33" t="str">
        <x:v>2026-economicsbsc-FY</x:v>
      </x:c>
      <x:c r="B129" s="37" t="n">
        <x:v>2026</x:v>
      </x:c>
      <x:c r="C129" s="35" t="str">
        <x:v>Economics BSc with Foundation Year</x:v>
      </x:c>
      <x:c r="D129" s="33" t="str">
        <x:v>Foundation year</x:v>
      </x:c>
      <x:c r="E129" s="33" t="str">
        <x:v>Vacancies</x:v>
      </x:c>
      <x:c r="F129" s="33" t="str"/>
      <x:c r="G129" s="33" t="str"/>
      <x:c r="H129" s="35" t="str">
        <x:v>Course-specific</x:v>
      </x:c>
      <x:c r="I129" s="35" t="str">
        <x:v>No</x:v>
      </x:c>
      <x:c r="J129" s="35" t="str">
        <x:v>Foundation Year requirements vary by course. View the full course details or call 01782 491120 to discuss your qualifications.</x:v>
      </x:c>
      <x:c r="K129" s="35" t="str">
        <x:v>https://www.keele.ac.uk/clearing/entry-requirements/</x:v>
      </x:c>
      <x:c r="L129" s="35" t="str">
        <x:v>https://www.keele.ac.uk/study/undergraduate-2026/undergraduatecourses/economicsbsc/#foundationyear</x:v>
      </x:c>
      <x:c r="M129" s="33" t="str">
        <x:v>Yes</x:v>
      </x:c>
      <x:c r="N129" s="38" t="n">
        <x:v>46195</x:v>
      </x:c>
      <x:c r="O129" s="35" t="str">
        <x:v>Clearing content team</x:v>
      </x:c>
      <x:c r="P129" s="35" t="str">
        <x:v>Initial import from Clearing vacancies and ER page for 2026.docx</x:v>
      </x:c>
      <x:c r="Q129" s="36" t="str">
        <x:f>IF(A129="","Missing ID",IF(COUNTIF($A$5:$A$1000,A129)&gt;1,"Duplicate ID",IF(C129="","Missing title",IF(D129="","Missing type",IF(E129="","Missing availability",IF(H129="","Missing offer",IF(L129="","Missing course URL",IF(ISERROR(SEARCH("https://www.keele.ac.uk/",L129)),"Non-Keele URL",IF(AND(D129="Foundation year",ISERROR(SEARCH("#foundationyear",L129))),"FY URL missing #foundationyear",IF(M129="","Missing display status",IF(N129="","Missing review date",IF(O129="","Missing owner",IF(P129="","Missing change note","OK")))))))))))))</x:f>
        <x:v>OK</x:v>
      </x:c>
    </x:row>
    <x:row r="130">
      <x:c r="A130" s="33" t="str">
        <x:v>2026-X300-UG</x:v>
      </x:c>
      <x:c r="B130" s="37" t="n">
        <x:v>2026</x:v>
      </x:c>
      <x:c r="C130" s="35" t="str">
        <x:v>Education</x:v>
      </x:c>
      <x:c r="D130" s="33" t="str">
        <x:v>Undergraduate</x:v>
      </x:c>
      <x:c r="E130" s="33" t="str">
        <x:v>Vacancies</x:v>
      </x:c>
      <x:c r="F130" s="33" t="str">
        <x:v>X300</x:v>
      </x:c>
      <x:c r="G130" s="33" t="str">
        <x:v>BA (Hons)</x:v>
      </x:c>
      <x:c r="H130" s="35" t="str">
        <x:v>64 UCAS tariff points</x:v>
      </x:c>
      <x:c r="I130" s="35" t="str">
        <x:v>No</x:v>
      </x:c>
      <x:c r="J130" s="35" t="str">
        <x:v>Most undergraduate courses require GCSE English Language at grade 4/C or equivalent. Some courses also require GCSE Mathematics at grade 4/C or equivalent.</x:v>
      </x:c>
      <x:c r="K130" s="35" t="str">
        <x:v>https://www.keele.ac.uk/clearing/entry-requirements/</x:v>
      </x:c>
      <x:c r="L130" s="35" t="str">
        <x:v>https://www.keele.ac.uk/study/undergraduate-2026/undergraduatecourses/education/</x:v>
      </x:c>
      <x:c r="M130" s="33" t="str">
        <x:v>Yes</x:v>
      </x:c>
      <x:c r="N130" s="38" t="n">
        <x:v>46195</x:v>
      </x:c>
      <x:c r="O130" s="35" t="str">
        <x:v>Clearing content team</x:v>
      </x:c>
      <x:c r="P130" s="35" t="str">
        <x:v>Initial import from Clearing vacancies and ER page for 2026.docx</x:v>
      </x:c>
      <x:c r="Q130" s="36" t="str">
        <x:f>IF(A130="","Missing ID",IF(COUNTIF($A$5:$A$1000,A130)&gt;1,"Duplicate ID",IF(C130="","Missing title",IF(D130="","Missing type",IF(E130="","Missing availability",IF(H130="","Missing offer",IF(L130="","Missing course URL",IF(ISERROR(SEARCH("https://www.keele.ac.uk/",L130)),"Non-Keele URL",IF(AND(D130="Foundation year",ISERROR(SEARCH("#foundationyear",L130))),"FY URL missing #foundationyear",IF(M130="","Missing display status",IF(N130="","Missing review date",IF(O130="","Missing owner",IF(P130="","Missing change note","OK")))))))))))))</x:f>
        <x:v>OK</x:v>
      </x:c>
    </x:row>
    <x:row r="131">
      <x:c r="A131" s="33" t="str">
        <x:v>2026-Q3X3-UG</x:v>
      </x:c>
      <x:c r="B131" s="37" t="n">
        <x:v>2026</x:v>
      </x:c>
      <x:c r="C131" s="35" t="str">
        <x:v>Education and English</x:v>
      </x:c>
      <x:c r="D131" s="33" t="str">
        <x:v>Undergraduate</x:v>
      </x:c>
      <x:c r="E131" s="33" t="str">
        <x:v>Vacancies</x:v>
      </x:c>
      <x:c r="F131" s="33" t="str">
        <x:v>Q3X3</x:v>
      </x:c>
      <x:c r="G131" s="33" t="str">
        <x:v>BA (Hons)</x:v>
      </x:c>
      <x:c r="H131" s="35" t="str">
        <x:v>64 UCAS tariff points</x:v>
      </x:c>
      <x:c r="I131" s="35" t="str">
        <x:v>No</x:v>
      </x:c>
      <x:c r="J131" s="35" t="str">
        <x:v>Most undergraduate courses require GCSE English Language at grade 4/C or equivalent. Some courses also require GCSE Mathematics at grade 4/C or equivalent.</x:v>
      </x:c>
      <x:c r="K131" s="35" t="str">
        <x:v>https://www.keele.ac.uk/clearing/entry-requirements/</x:v>
      </x:c>
      <x:c r="L131" s="35" t="str">
        <x:v>https://www.keele.ac.uk/study/undergraduate-2026/undergraduatecourses/educationandenglish/</x:v>
      </x:c>
      <x:c r="M131" s="33" t="str">
        <x:v>Yes</x:v>
      </x:c>
      <x:c r="N131" s="38" t="n">
        <x:v>46195</x:v>
      </x:c>
      <x:c r="O131" s="35" t="str">
        <x:v>Clearing content team</x:v>
      </x:c>
      <x:c r="P131" s="35" t="str">
        <x:v>Initial import from Clearing vacancies and ER page for 2026.docx</x:v>
      </x:c>
      <x:c r="Q131" s="36" t="str">
        <x:f>IF(A131="","Missing ID",IF(COUNTIF($A$5:$A$1000,A131)&gt;1,"Duplicate ID",IF(C131="","Missing title",IF(D131="","Missing type",IF(E131="","Missing availability",IF(H131="","Missing offer",IF(L131="","Missing course URL",IF(ISERROR(SEARCH("https://www.keele.ac.uk/",L131)),"Non-Keele URL",IF(AND(D131="Foundation year",ISERROR(SEARCH("#foundationyear",L131))),"FY URL missing #foundationyear",IF(M131="","Missing display status",IF(N131="","Missing review date",IF(O131="","Missing owner",IF(P131="","Missing change note","OK")))))))))))))</x:f>
        <x:v>OK</x:v>
      </x:c>
    </x:row>
    <x:row r="132">
      <x:c r="A132" s="33" t="str">
        <x:v>2026-educationandenglish-FY</x:v>
      </x:c>
      <x:c r="B132" s="37" t="n">
        <x:v>2026</x:v>
      </x:c>
      <x:c r="C132" s="35" t="str">
        <x:v>Education and English with Foundation Year</x:v>
      </x:c>
      <x:c r="D132" s="33" t="str">
        <x:v>Foundation year</x:v>
      </x:c>
      <x:c r="E132" s="33" t="str">
        <x:v>Vacancies</x:v>
      </x:c>
      <x:c r="F132" s="33" t="str"/>
      <x:c r="G132" s="33" t="str"/>
      <x:c r="H132" s="35" t="str">
        <x:v>Course-specific</x:v>
      </x:c>
      <x:c r="I132" s="35" t="str">
        <x:v>No</x:v>
      </x:c>
      <x:c r="J132" s="35" t="str">
        <x:v>Foundation Year requirements vary by course. View the full course details or call 01782 491120 to discuss your qualifications.</x:v>
      </x:c>
      <x:c r="K132" s="35" t="str">
        <x:v>https://www.keele.ac.uk/clearing/entry-requirements/</x:v>
      </x:c>
      <x:c r="L132" s="35" t="str">
        <x:v>https://www.keele.ac.uk/study/undergraduate-2026/undergraduatecourses/educationandenglish/#foundationyear</x:v>
      </x:c>
      <x:c r="M132" s="33" t="str">
        <x:v>Yes</x:v>
      </x:c>
      <x:c r="N132" s="38" t="n">
        <x:v>46195</x:v>
      </x:c>
      <x:c r="O132" s="35" t="str">
        <x:v>Clearing content team</x:v>
      </x:c>
      <x:c r="P132" s="35" t="str">
        <x:v>Initial import from Clearing vacancies and ER page for 2026.docx</x:v>
      </x:c>
      <x:c r="Q132" s="36" t="str">
        <x:f>IF(A132="","Missing ID",IF(COUNTIF($A$5:$A$1000,A132)&gt;1,"Duplicate ID",IF(C132="","Missing title",IF(D132="","Missing type",IF(E132="","Missing availability",IF(H132="","Missing offer",IF(L132="","Missing course URL",IF(ISERROR(SEARCH("https://www.keele.ac.uk/",L132)),"Non-Keele URL",IF(AND(D132="Foundation year",ISERROR(SEARCH("#foundationyear",L132))),"FY URL missing #foundationyear",IF(M132="","Missing display status",IF(N132="","Missing review date",IF(O132="","Missing owner",IF(P132="","Missing change note","OK")))))))))))))</x:f>
        <x:v>OK</x:v>
      </x:c>
    </x:row>
    <x:row r="133">
      <x:c r="A133" s="33" t="str">
        <x:v>2026-LX33-UG</x:v>
      </x:c>
      <x:c r="B133" s="37" t="n">
        <x:v>2026</x:v>
      </x:c>
      <x:c r="C133" s="35" t="str">
        <x:v>Education and Sociology</x:v>
      </x:c>
      <x:c r="D133" s="33" t="str">
        <x:v>Undergraduate</x:v>
      </x:c>
      <x:c r="E133" s="33" t="str">
        <x:v>Vacancies</x:v>
      </x:c>
      <x:c r="F133" s="33" t="str">
        <x:v>LX33</x:v>
      </x:c>
      <x:c r="G133" s="33" t="str">
        <x:v>BA (Hons)</x:v>
      </x:c>
      <x:c r="H133" s="35" t="str">
        <x:v>64 UCAS tariff points</x:v>
      </x:c>
      <x:c r="I133" s="35" t="str">
        <x:v>No</x:v>
      </x:c>
      <x:c r="J133" s="35" t="str">
        <x:v>Most undergraduate courses require GCSE English Language at grade 4/C or equivalent. Some courses also require GCSE Mathematics at grade 4/C or equivalent.</x:v>
      </x:c>
      <x:c r="K133" s="35" t="str">
        <x:v>https://www.keele.ac.uk/clearing/entry-requirements/</x:v>
      </x:c>
      <x:c r="L133" s="35" t="str">
        <x:v>https://www.keele.ac.uk/study/undergraduate-2026/undergraduatecourses/educationandsociology/</x:v>
      </x:c>
      <x:c r="M133" s="33" t="str">
        <x:v>Yes</x:v>
      </x:c>
      <x:c r="N133" s="38" t="n">
        <x:v>46195</x:v>
      </x:c>
      <x:c r="O133" s="35" t="str">
        <x:v>Clearing content team</x:v>
      </x:c>
      <x:c r="P133" s="35" t="str">
        <x:v>Initial import from Clearing vacancies and ER page for 2026.docx</x:v>
      </x:c>
      <x:c r="Q133" s="36" t="str">
        <x:f>IF(A133="","Missing ID",IF(COUNTIF($A$5:$A$1000,A133)&gt;1,"Duplicate ID",IF(C133="","Missing title",IF(D133="","Missing type",IF(E133="","Missing availability",IF(H133="","Missing offer",IF(L133="","Missing course URL",IF(ISERROR(SEARCH("https://www.keele.ac.uk/",L133)),"Non-Keele URL",IF(AND(D133="Foundation year",ISERROR(SEARCH("#foundationyear",L133))),"FY URL missing #foundationyear",IF(M133="","Missing display status",IF(N133="","Missing review date",IF(O133="","Missing owner",IF(P133="","Missing change note","OK")))))))))))))</x:f>
        <x:v>OK</x:v>
      </x:c>
    </x:row>
    <x:row r="134">
      <x:c r="A134" s="33" t="str">
        <x:v>2026-educationandsociology-FY</x:v>
      </x:c>
      <x:c r="B134" s="37" t="n">
        <x:v>2026</x:v>
      </x:c>
      <x:c r="C134" s="35" t="str">
        <x:v>Education and Sociology with Foundation Year</x:v>
      </x:c>
      <x:c r="D134" s="33" t="str">
        <x:v>Foundation year</x:v>
      </x:c>
      <x:c r="E134" s="33" t="str">
        <x:v>Vacancies</x:v>
      </x:c>
      <x:c r="F134" s="33" t="str"/>
      <x:c r="G134" s="33" t="str"/>
      <x:c r="H134" s="35" t="str">
        <x:v>Course-specific</x:v>
      </x:c>
      <x:c r="I134" s="35" t="str">
        <x:v>No</x:v>
      </x:c>
      <x:c r="J134" s="35" t="str">
        <x:v>Foundation Year requirements vary by course. View the full course details or call 01782 491120 to discuss your qualifications.</x:v>
      </x:c>
      <x:c r="K134" s="35" t="str">
        <x:v>https://www.keele.ac.uk/clearing/entry-requirements/</x:v>
      </x:c>
      <x:c r="L134" s="35" t="str">
        <x:v>https://www.keele.ac.uk/study/undergraduate-2026/undergraduatecourses/educationandsociology/#foundationyear</x:v>
      </x:c>
      <x:c r="M134" s="33" t="str">
        <x:v>Yes</x:v>
      </x:c>
      <x:c r="N134" s="38" t="n">
        <x:v>46195</x:v>
      </x:c>
      <x:c r="O134" s="35" t="str">
        <x:v>Clearing content team</x:v>
      </x:c>
      <x:c r="P134" s="35" t="str">
        <x:v>Initial import from Clearing vacancies and ER page for 2026.docx</x:v>
      </x:c>
      <x:c r="Q134" s="36" t="str">
        <x:f>IF(A134="","Missing ID",IF(COUNTIF($A$5:$A$1000,A134)&gt;1,"Duplicate ID",IF(C134="","Missing title",IF(D134="","Missing type",IF(E134="","Missing availability",IF(H134="","Missing offer",IF(L134="","Missing course URL",IF(ISERROR(SEARCH("https://www.keele.ac.uk/",L134)),"Non-Keele URL",IF(AND(D134="Foundation year",ISERROR(SEARCH("#foundationyear",L134))),"FY URL missing #foundationyear",IF(M134="","Missing display status",IF(N134="","Missing review date",IF(O134="","Missing owner",IF(P134="","Missing change note","OK")))))))))))))</x:f>
        <x:v>OK</x:v>
      </x:c>
    </x:row>
    <x:row r="135">
      <x:c r="A135" s="33" t="str">
        <x:v>2026-education-FY</x:v>
      </x:c>
      <x:c r="B135" s="37" t="n">
        <x:v>2026</x:v>
      </x:c>
      <x:c r="C135" s="35" t="str">
        <x:v>Education with Foundation Year</x:v>
      </x:c>
      <x:c r="D135" s="33" t="str">
        <x:v>Foundation year</x:v>
      </x:c>
      <x:c r="E135" s="33" t="str">
        <x:v>Vacancies</x:v>
      </x:c>
      <x:c r="F135" s="33" t="str"/>
      <x:c r="G135" s="33" t="str"/>
      <x:c r="H135" s="35" t="str">
        <x:v>Course-specific</x:v>
      </x:c>
      <x:c r="I135" s="35" t="str">
        <x:v>No</x:v>
      </x:c>
      <x:c r="J135" s="35" t="str">
        <x:v>Foundation Year requirements vary by course. View the full course details or call 01782 491120 to discuss your qualifications.</x:v>
      </x:c>
      <x:c r="K135" s="35" t="str">
        <x:v>https://www.keele.ac.uk/clearing/entry-requirements/</x:v>
      </x:c>
      <x:c r="L135" s="35" t="str">
        <x:v>https://www.keele.ac.uk/study/undergraduate-2026/undergraduatecourses/education/#foundationyear</x:v>
      </x:c>
      <x:c r="M135" s="33" t="str">
        <x:v>Yes</x:v>
      </x:c>
      <x:c r="N135" s="38" t="n">
        <x:v>46195</x:v>
      </x:c>
      <x:c r="O135" s="35" t="str">
        <x:v>Clearing content team</x:v>
      </x:c>
      <x:c r="P135" s="35" t="str">
        <x:v>Initial import from Clearing vacancies and ER page for 2026.docx</x:v>
      </x:c>
      <x:c r="Q135" s="36" t="str">
        <x:f>IF(A135="","Missing ID",IF(COUNTIF($A$5:$A$1000,A135)&gt;1,"Duplicate ID",IF(C135="","Missing title",IF(D135="","Missing type",IF(E135="","Missing availability",IF(H135="","Missing offer",IF(L135="","Missing course URL",IF(ISERROR(SEARCH("https://www.keele.ac.uk/",L135)),"Non-Keele URL",IF(AND(D135="Foundation year",ISERROR(SEARCH("#foundationyear",L135))),"FY URL missing #foundationyear",IF(M135="","Missing display status",IF(N135="","Missing review date",IF(O135="","Missing owner",IF(P135="","Missing change note","OK")))))))))))))</x:f>
        <x:v>OK</x:v>
      </x:c>
    </x:row>
    <x:row r="136">
      <x:c r="A136" s="33" t="str">
        <x:v>2026-H600-UG</x:v>
      </x:c>
      <x:c r="B136" s="37" t="n">
        <x:v>2026</x:v>
      </x:c>
      <x:c r="C136" s="35" t="str">
        <x:v>Electrical and Electronic Engineering</x:v>
      </x:c>
      <x:c r="D136" s="33" t="str">
        <x:v>Undergraduate</x:v>
      </x:c>
      <x:c r="E136" s="33" t="str">
        <x:v>Vacancies</x:v>
      </x:c>
      <x:c r="F136" s="33" t="str">
        <x:v>H600</x:v>
      </x:c>
      <x:c r="G136" s="33" t="str">
        <x:v>BEng</x:v>
      </x:c>
      <x:c r="H136" s="35" t="str">
        <x:v>64 UCAS tariff points</x:v>
      </x:c>
      <x:c r="I136" s="35" t="str">
        <x:v>Yes</x:v>
      </x:c>
      <x:c r="J136" s="35" t="str">
        <x:v>This course has additional subject-specific requirements. View the full course details or contact Admissions before applying.</x:v>
      </x:c>
      <x:c r="K136" s="35" t="str">
        <x:v>https://www.keele.ac.uk/clearing/entry-requirements/</x:v>
      </x:c>
      <x:c r="L136" s="35" t="str">
        <x:v>https://www.keele.ac.uk/study/undergraduate-2026/undergraduatecourses/electricalandelectronicengineering/</x:v>
      </x:c>
      <x:c r="M136" s="33" t="str">
        <x:v>Yes</x:v>
      </x:c>
      <x:c r="N136" s="38" t="n">
        <x:v>46195</x:v>
      </x:c>
      <x:c r="O136" s="35" t="str">
        <x:v>Clearing content team</x:v>
      </x:c>
      <x:c r="P136" s="35" t="str">
        <x:v>Initial import from Clearing vacancies and ER page for 2026.docx</x:v>
      </x:c>
      <x:c r="Q136" s="36" t="str">
        <x:f>IF(A136="","Missing ID",IF(COUNTIF($A$5:$A$1000,A136)&gt;1,"Duplicate ID",IF(C136="","Missing title",IF(D136="","Missing type",IF(E136="","Missing availability",IF(H136="","Missing offer",IF(L136="","Missing course URL",IF(ISERROR(SEARCH("https://www.keele.ac.uk/",L136)),"Non-Keele URL",IF(AND(D136="Foundation year",ISERROR(SEARCH("#foundationyear",L136))),"FY URL missing #foundationyear",IF(M136="","Missing display status",IF(N136="","Missing review date",IF(O136="","Missing owner",IF(P136="","Missing change note","OK")))))))))))))</x:f>
        <x:v>OK</x:v>
      </x:c>
    </x:row>
    <x:row r="137">
      <x:c r="A137" s="33" t="str">
        <x:v>2026-electricalandelectronicengineering-FY</x:v>
      </x:c>
      <x:c r="B137" s="37" t="n">
        <x:v>2026</x:v>
      </x:c>
      <x:c r="C137" s="35" t="str">
        <x:v>Electrical and Electronic Engineering with Foundation Year</x:v>
      </x:c>
      <x:c r="D137" s="33" t="str">
        <x:v>Foundation year</x:v>
      </x:c>
      <x:c r="E137" s="33" t="str">
        <x:v>Vacancies</x:v>
      </x:c>
      <x:c r="F137" s="33" t="str"/>
      <x:c r="G137" s="33" t="str"/>
      <x:c r="H137" s="35" t="str">
        <x:v>Course-specific</x:v>
      </x:c>
      <x:c r="I137" s="35" t="str">
        <x:v>No</x:v>
      </x:c>
      <x:c r="J137" s="35" t="str">
        <x:v>Foundation Year requirements vary by course. View the full course details or call 01782 491120 to discuss your qualifications.</x:v>
      </x:c>
      <x:c r="K137" s="35" t="str">
        <x:v>https://www.keele.ac.uk/clearing/entry-requirements/</x:v>
      </x:c>
      <x:c r="L137" s="35" t="str">
        <x:v>https://www.keele.ac.uk/study/undergraduate-2026/undergraduatecourses/electricalandelectronicengineering/#foundationyear</x:v>
      </x:c>
      <x:c r="M137" s="33" t="str">
        <x:v>Yes</x:v>
      </x:c>
      <x:c r="N137" s="38" t="n">
        <x:v>46195</x:v>
      </x:c>
      <x:c r="O137" s="35" t="str">
        <x:v>Clearing content team</x:v>
      </x:c>
      <x:c r="P137" s="35" t="str">
        <x:v>Initial import from Clearing vacancies and ER page for 2026.docx</x:v>
      </x:c>
      <x:c r="Q137" s="36" t="str">
        <x:f>IF(A137="","Missing ID",IF(COUNTIF($A$5:$A$1000,A137)&gt;1,"Duplicate ID",IF(C137="","Missing title",IF(D137="","Missing type",IF(E137="","Missing availability",IF(H137="","Missing offer",IF(L137="","Missing course URL",IF(ISERROR(SEARCH("https://www.keele.ac.uk/",L137)),"Non-Keele URL",IF(AND(D137="Foundation year",ISERROR(SEARCH("#foundationyear",L137))),"FY URL missing #foundationyear",IF(M137="","Missing display status",IF(N137="","Missing review date",IF(O137="","Missing owner",IF(P137="","Missing change note","OK")))))))))))))</x:f>
        <x:v>OK</x:v>
      </x:c>
    </x:row>
    <x:row r="138">
      <x:c r="A138" s="33" t="str">
        <x:v>2026-H601-UG</x:v>
      </x:c>
      <x:c r="B138" s="37" t="n">
        <x:v>2026</x:v>
      </x:c>
      <x:c r="C138" s="35" t="str">
        <x:v>Electrical and Electronic Engineering with Integrated Master's</x:v>
      </x:c>
      <x:c r="D138" s="33" t="str">
        <x:v>Undergraduate</x:v>
      </x:c>
      <x:c r="E138" s="33" t="str">
        <x:v>Vacancies</x:v>
      </x:c>
      <x:c r="F138" s="33" t="str">
        <x:v>H601</x:v>
      </x:c>
      <x:c r="G138" s="33" t="str">
        <x:v>MEng</x:v>
      </x:c>
      <x:c r="H138" s="35" t="str">
        <x:v>64 UCAS tariff points</x:v>
      </x:c>
      <x:c r="I138" s="35" t="str">
        <x:v>Yes</x:v>
      </x:c>
      <x:c r="J138" s="35" t="str">
        <x:v>This course has additional subject-specific requirements. View the full course details or contact Admissions before applying.</x:v>
      </x:c>
      <x:c r="K138" s="35" t="str">
        <x:v>https://www.keele.ac.uk/clearing/entry-requirements/</x:v>
      </x:c>
      <x:c r="L138" s="35" t="str">
        <x:v>https://www.keele.ac.uk/study/undergraduate-2026/undergraduatecourses/electricalandelectronicengineeringwithintegratedmasters/</x:v>
      </x:c>
      <x:c r="M138" s="33" t="str">
        <x:v>Yes</x:v>
      </x:c>
      <x:c r="N138" s="38" t="n">
        <x:v>46195</x:v>
      </x:c>
      <x:c r="O138" s="35" t="str">
        <x:v>Clearing content team</x:v>
      </x:c>
      <x:c r="P138" s="35" t="str">
        <x:v>Initial import from Clearing vacancies and ER page for 2026.docx</x:v>
      </x:c>
      <x:c r="Q138" s="36" t="str">
        <x:f>IF(A138="","Missing ID",IF(COUNTIF($A$5:$A$1000,A138)&gt;1,"Duplicate ID",IF(C138="","Missing title",IF(D138="","Missing type",IF(E138="","Missing availability",IF(H138="","Missing offer",IF(L138="","Missing course URL",IF(ISERROR(SEARCH("https://www.keele.ac.uk/",L138)),"Non-Keele URL",IF(AND(D138="Foundation year",ISERROR(SEARCH("#foundationyear",L138))),"FY URL missing #foundationyear",IF(M138="","Missing display status",IF(N138="","Missing review date",IF(O138="","Missing owner",IF(P138="","Missing change note","OK")))))))))))))</x:f>
        <x:v>OK</x:v>
      </x:c>
    </x:row>
    <x:row r="139">
      <x:c r="A139" s="33" t="str">
        <x:v>2026-electricalandelectronicengineeringwithintegratedmasters-FY</x:v>
      </x:c>
      <x:c r="B139" s="37" t="n">
        <x:v>2026</x:v>
      </x:c>
      <x:c r="C139" s="35" t="str">
        <x:v>Electrical and Electronic Engineering with Integrated Master's with Foundation Year</x:v>
      </x:c>
      <x:c r="D139" s="33" t="str">
        <x:v>Foundation year</x:v>
      </x:c>
      <x:c r="E139" s="33" t="str">
        <x:v>Vacancies</x:v>
      </x:c>
      <x:c r="F139" s="33" t="str"/>
      <x:c r="G139" s="33" t="str"/>
      <x:c r="H139" s="35" t="str">
        <x:v>Course-specific</x:v>
      </x:c>
      <x:c r="I139" s="35" t="str">
        <x:v>No</x:v>
      </x:c>
      <x:c r="J139" s="35" t="str">
        <x:v>Foundation Year requirements vary by course. View the full course details or call 01782 491120 to discuss your qualifications.</x:v>
      </x:c>
      <x:c r="K139" s="35" t="str">
        <x:v>https://www.keele.ac.uk/clearing/entry-requirements/</x:v>
      </x:c>
      <x:c r="L139" s="35" t="str">
        <x:v>https://www.keele.ac.uk/study/undergraduate-2026/undergraduatecourses/electricalandelectronicengineeringwithintegratedmasters/#foundationyear</x:v>
      </x:c>
      <x:c r="M139" s="33" t="str">
        <x:v>Yes</x:v>
      </x:c>
      <x:c r="N139" s="38" t="n">
        <x:v>46195</x:v>
      </x:c>
      <x:c r="O139" s="35" t="str">
        <x:v>Clearing content team</x:v>
      </x:c>
      <x:c r="P139" s="35" t="str">
        <x:v>Initial import from Clearing vacancies and ER page for 2026.docx</x:v>
      </x:c>
      <x:c r="Q139" s="36" t="str">
        <x:f>IF(A139="","Missing ID",IF(COUNTIF($A$5:$A$1000,A139)&gt;1,"Duplicate ID",IF(C139="","Missing title",IF(D139="","Missing type",IF(E139="","Missing availability",IF(H139="","Missing offer",IF(L139="","Missing course URL",IF(ISERROR(SEARCH("https://www.keele.ac.uk/",L139)),"Non-Keele URL",IF(AND(D139="Foundation year",ISERROR(SEARCH("#foundationyear",L139))),"FY URL missing #foundationyear",IF(M139="","Missing display status",IF(N139="","Missing review date",IF(O139="","Missing owner",IF(P139="","Missing change note","OK")))))))))))))</x:f>
        <x:v>OK</x:v>
      </x:c>
    </x:row>
    <x:row r="140">
      <x:c r="A140" s="33" t="str">
        <x:v>2026-H100-UG</x:v>
      </x:c>
      <x:c r="B140" s="37" t="n">
        <x:v>2026</x:v>
      </x:c>
      <x:c r="C140" s="35" t="str">
        <x:v>Engineering</x:v>
      </x:c>
      <x:c r="D140" s="33" t="str">
        <x:v>Undergraduate</x:v>
      </x:c>
      <x:c r="E140" s="33" t="str">
        <x:v>Vacancies</x:v>
      </x:c>
      <x:c r="F140" s="33" t="str">
        <x:v>H100</x:v>
      </x:c>
      <x:c r="G140" s="33" t="str">
        <x:v>BEng</x:v>
      </x:c>
      <x:c r="H140" s="35" t="str">
        <x:v>64 UCAS tariff points</x:v>
      </x:c>
      <x:c r="I140" s="35" t="str">
        <x:v>Yes</x:v>
      </x:c>
      <x:c r="J140" s="35" t="str">
        <x:v>This course has additional subject-specific requirements. View the full course details or contact Admissions before applying.</x:v>
      </x:c>
      <x:c r="K140" s="35" t="str">
        <x:v>https://www.keele.ac.uk/clearing/entry-requirements/</x:v>
      </x:c>
      <x:c r="L140" s="35" t="str">
        <x:v>https://www.keele.ac.uk/study/undergraduate-2026/undergraduatecourses/engineering/</x:v>
      </x:c>
      <x:c r="M140" s="33" t="str">
        <x:v>Yes</x:v>
      </x:c>
      <x:c r="N140" s="38" t="n">
        <x:v>46195</x:v>
      </x:c>
      <x:c r="O140" s="35" t="str">
        <x:v>Clearing content team</x:v>
      </x:c>
      <x:c r="P140" s="35" t="str">
        <x:v>Initial import from Clearing vacancies and ER page for 2026.docx</x:v>
      </x:c>
      <x:c r="Q140" s="36" t="str">
        <x:f>IF(A140="","Missing ID",IF(COUNTIF($A$5:$A$1000,A140)&gt;1,"Duplicate ID",IF(C140="","Missing title",IF(D140="","Missing type",IF(E140="","Missing availability",IF(H140="","Missing offer",IF(L140="","Missing course URL",IF(ISERROR(SEARCH("https://www.keele.ac.uk/",L140)),"Non-Keele URL",IF(AND(D140="Foundation year",ISERROR(SEARCH("#foundationyear",L140))),"FY URL missing #foundationyear",IF(M140="","Missing display status",IF(N140="","Missing review date",IF(O140="","Missing owner",IF(P140="","Missing change note","OK")))))))))))))</x:f>
        <x:v>OK</x:v>
      </x:c>
    </x:row>
    <x:row r="141">
      <x:c r="A141" s="33" t="str">
        <x:v>2026-engineering-FY</x:v>
      </x:c>
      <x:c r="B141" s="37" t="n">
        <x:v>2026</x:v>
      </x:c>
      <x:c r="C141" s="35" t="str">
        <x:v>Engineering with Foundation Year</x:v>
      </x:c>
      <x:c r="D141" s="33" t="str">
        <x:v>Foundation year</x:v>
      </x:c>
      <x:c r="E141" s="33" t="str">
        <x:v>Vacancies</x:v>
      </x:c>
      <x:c r="F141" s="33" t="str"/>
      <x:c r="G141" s="33" t="str"/>
      <x:c r="H141" s="35" t="str">
        <x:v>Course-specific</x:v>
      </x:c>
      <x:c r="I141" s="35" t="str">
        <x:v>No</x:v>
      </x:c>
      <x:c r="J141" s="35" t="str">
        <x:v>Foundation Year requirements vary by course. View the full course details or call 01782 491120 to discuss your qualifications.</x:v>
      </x:c>
      <x:c r="K141" s="35" t="str">
        <x:v>https://www.keele.ac.uk/clearing/entry-requirements/</x:v>
      </x:c>
      <x:c r="L141" s="35" t="str">
        <x:v>https://www.keele.ac.uk/study/undergraduate-2026/undergraduatecourses/engineering/#foundationyear</x:v>
      </x:c>
      <x:c r="M141" s="33" t="str">
        <x:v>Yes</x:v>
      </x:c>
      <x:c r="N141" s="38" t="n">
        <x:v>46195</x:v>
      </x:c>
      <x:c r="O141" s="35" t="str">
        <x:v>Clearing content team</x:v>
      </x:c>
      <x:c r="P141" s="35" t="str">
        <x:v>Initial import from Clearing vacancies and ER page for 2026.docx</x:v>
      </x:c>
      <x:c r="Q141" s="36" t="str">
        <x:f>IF(A141="","Missing ID",IF(COUNTIF($A$5:$A$1000,A141)&gt;1,"Duplicate ID",IF(C141="","Missing title",IF(D141="","Missing type",IF(E141="","Missing availability",IF(H141="","Missing offer",IF(L141="","Missing course URL",IF(ISERROR(SEARCH("https://www.keele.ac.uk/",L141)),"Non-Keele URL",IF(AND(D141="Foundation year",ISERROR(SEARCH("#foundationyear",L141))),"FY URL missing #foundationyear",IF(M141="","Missing display status",IF(N141="","Missing review date",IF(O141="","Missing owner",IF(P141="","Missing change note","OK")))))))))))))</x:f>
        <x:v>OK</x:v>
      </x:c>
    </x:row>
    <x:row r="142">
      <x:c r="A142" s="33" t="str">
        <x:v>2026-H101-UG</x:v>
      </x:c>
      <x:c r="B142" s="37" t="n">
        <x:v>2026</x:v>
      </x:c>
      <x:c r="C142" s="35" t="str">
        <x:v>Engineering with Integrated Master's</x:v>
      </x:c>
      <x:c r="D142" s="33" t="str">
        <x:v>Undergraduate</x:v>
      </x:c>
      <x:c r="E142" s="33" t="str">
        <x:v>Vacancies</x:v>
      </x:c>
      <x:c r="F142" s="33" t="str">
        <x:v>H101</x:v>
      </x:c>
      <x:c r="G142" s="33" t="str">
        <x:v>MEng</x:v>
      </x:c>
      <x:c r="H142" s="35" t="str">
        <x:v>64 UCAS tariff points</x:v>
      </x:c>
      <x:c r="I142" s="35" t="str">
        <x:v>Yes</x:v>
      </x:c>
      <x:c r="J142" s="35" t="str">
        <x:v>This course has additional subject-specific requirements. View the full course details or contact Admissions before applying.</x:v>
      </x:c>
      <x:c r="K142" s="35" t="str">
        <x:v>https://www.keele.ac.uk/clearing/entry-requirements/</x:v>
      </x:c>
      <x:c r="L142" s="35" t="str">
        <x:v>https://www.keele.ac.uk/study/undergraduate-2026/undergraduatecourses/engineeringwithintegratedmasters/</x:v>
      </x:c>
      <x:c r="M142" s="33" t="str">
        <x:v>Yes</x:v>
      </x:c>
      <x:c r="N142" s="38" t="n">
        <x:v>46195</x:v>
      </x:c>
      <x:c r="O142" s="35" t="str">
        <x:v>Clearing content team</x:v>
      </x:c>
      <x:c r="P142" s="35" t="str">
        <x:v>Initial import from Clearing vacancies and ER page for 2026.docx</x:v>
      </x:c>
      <x:c r="Q142" s="36" t="str">
        <x:f>IF(A142="","Missing ID",IF(COUNTIF($A$5:$A$1000,A142)&gt;1,"Duplicate ID",IF(C142="","Missing title",IF(D142="","Missing type",IF(E142="","Missing availability",IF(H142="","Missing offer",IF(L142="","Missing course URL",IF(ISERROR(SEARCH("https://www.keele.ac.uk/",L142)),"Non-Keele URL",IF(AND(D142="Foundation year",ISERROR(SEARCH("#foundationyear",L142))),"FY URL missing #foundationyear",IF(M142="","Missing display status",IF(N142="","Missing review date",IF(O142="","Missing owner",IF(P142="","Missing change note","OK")))))))))))))</x:f>
        <x:v>OK</x:v>
      </x:c>
    </x:row>
    <x:row r="143">
      <x:c r="A143" s="33" t="str">
        <x:v>2026-engineeringwithintegratedmasters-FY</x:v>
      </x:c>
      <x:c r="B143" s="37" t="n">
        <x:v>2026</x:v>
      </x:c>
      <x:c r="C143" s="35" t="str">
        <x:v>Engineering with Integrated Master's with Foundation Year</x:v>
      </x:c>
      <x:c r="D143" s="33" t="str">
        <x:v>Foundation year</x:v>
      </x:c>
      <x:c r="E143" s="33" t="str">
        <x:v>Vacancies</x:v>
      </x:c>
      <x:c r="F143" s="33" t="str"/>
      <x:c r="G143" s="33" t="str"/>
      <x:c r="H143" s="35" t="str">
        <x:v>Course-specific</x:v>
      </x:c>
      <x:c r="I143" s="35" t="str">
        <x:v>No</x:v>
      </x:c>
      <x:c r="J143" s="35" t="str">
        <x:v>Foundation Year requirements vary by course. View the full course details or call 01782 491120 to discuss your qualifications.</x:v>
      </x:c>
      <x:c r="K143" s="35" t="str">
        <x:v>https://www.keele.ac.uk/clearing/entry-requirements/</x:v>
      </x:c>
      <x:c r="L143" s="35" t="str">
        <x:v>https://www.keele.ac.uk/study/undergraduate-2026/undergraduatecourses/engineeringwithintegratedmasters/#foundationyear</x:v>
      </x:c>
      <x:c r="M143" s="33" t="str">
        <x:v>Yes</x:v>
      </x:c>
      <x:c r="N143" s="38" t="n">
        <x:v>46195</x:v>
      </x:c>
      <x:c r="O143" s="35" t="str">
        <x:v>Clearing content team</x:v>
      </x:c>
      <x:c r="P143" s="35" t="str">
        <x:v>Initial import from Clearing vacancies and ER page for 2026.docx</x:v>
      </x:c>
      <x:c r="Q143" s="36" t="str">
        <x:f>IF(A143="","Missing ID",IF(COUNTIF($A$5:$A$1000,A143)&gt;1,"Duplicate ID",IF(C143="","Missing title",IF(D143="","Missing type",IF(E143="","Missing availability",IF(H143="","Missing offer",IF(L143="","Missing course URL",IF(ISERROR(SEARCH("https://www.keele.ac.uk/",L143)),"Non-Keele URL",IF(AND(D143="Foundation year",ISERROR(SEARCH("#foundationyear",L143))),"FY URL missing #foundationyear",IF(M143="","Missing display status",IF(N143="","Missing review date",IF(O143="","Missing owner",IF(P143="","Missing change note","OK")))))))))))))</x:f>
        <x:v>OK</x:v>
      </x:c>
    </x:row>
    <x:row r="144">
      <x:c r="A144" s="33" t="str">
        <x:v>2026-Q300-UG</x:v>
      </x:c>
      <x:c r="B144" s="37" t="n">
        <x:v>2026</x:v>
      </x:c>
      <x:c r="C144" s="35" t="str">
        <x:v>English</x:v>
      </x:c>
      <x:c r="D144" s="33" t="str">
        <x:v>Undergraduate</x:v>
      </x:c>
      <x:c r="E144" s="33" t="str">
        <x:v>Vacancies</x:v>
      </x:c>
      <x:c r="F144" s="33" t="str">
        <x:v>Q300</x:v>
      </x:c>
      <x:c r="G144" s="33" t="str">
        <x:v>BA (Hons)</x:v>
      </x:c>
      <x:c r="H144" s="35" t="str">
        <x:v>64 UCAS tariff points</x:v>
      </x:c>
      <x:c r="I144" s="35" t="str">
        <x:v>No</x:v>
      </x:c>
      <x:c r="J144" s="35" t="str">
        <x:v>Most undergraduate courses require GCSE English Language at grade 4/C or equivalent. Some courses also require GCSE Mathematics at grade 4/C or equivalent.</x:v>
      </x:c>
      <x:c r="K144" s="35" t="str">
        <x:v>https://www.keele.ac.uk/clearing/entry-requirements/</x:v>
      </x:c>
      <x:c r="L144" s="35" t="str">
        <x:v>https://www.keele.ac.uk/study/undergraduate-2026/undergraduatecourses/english/</x:v>
      </x:c>
      <x:c r="M144" s="33" t="str">
        <x:v>Yes</x:v>
      </x:c>
      <x:c r="N144" s="38" t="n">
        <x:v>46195</x:v>
      </x:c>
      <x:c r="O144" s="35" t="str">
        <x:v>Clearing content team</x:v>
      </x:c>
      <x:c r="P144" s="35" t="str">
        <x:v>Initial import from Clearing vacancies and ER page for 2026.docx</x:v>
      </x:c>
      <x:c r="Q144" s="36" t="str">
        <x:f>IF(A144="","Missing ID",IF(COUNTIF($A$5:$A$1000,A144)&gt;1,"Duplicate ID",IF(C144="","Missing title",IF(D144="","Missing type",IF(E144="","Missing availability",IF(H144="","Missing offer",IF(L144="","Missing course URL",IF(ISERROR(SEARCH("https://www.keele.ac.uk/",L144)),"Non-Keele URL",IF(AND(D144="Foundation year",ISERROR(SEARCH("#foundationyear",L144))),"FY URL missing #foundationyear",IF(M144="","Missing display status",IF(N144="","Missing review date",IF(O144="","Missing owner",IF(P144="","Missing change note","OK")))))))))))))</x:f>
        <x:v>OK</x:v>
      </x:c>
    </x:row>
    <x:row r="145">
      <x:c r="A145" s="33" t="str">
        <x:v>2026-Q3W8-UG</x:v>
      </x:c>
      <x:c r="B145" s="37" t="n">
        <x:v>2026</x:v>
      </x:c>
      <x:c r="C145" s="35" t="str">
        <x:v>English and Creative Writing</x:v>
      </x:c>
      <x:c r="D145" s="33" t="str">
        <x:v>Undergraduate</x:v>
      </x:c>
      <x:c r="E145" s="33" t="str">
        <x:v>Vacancies</x:v>
      </x:c>
      <x:c r="F145" s="33" t="str">
        <x:v>Q3W8</x:v>
      </x:c>
      <x:c r="G145" s="33" t="str">
        <x:v>BA (Hons)</x:v>
      </x:c>
      <x:c r="H145" s="35" t="str">
        <x:v>64 UCAS tariff points</x:v>
      </x:c>
      <x:c r="I145" s="35" t="str">
        <x:v>No</x:v>
      </x:c>
      <x:c r="J145" s="35" t="str">
        <x:v>Most undergraduate courses require GCSE English Language at grade 4/C or equivalent. Some courses also require GCSE Mathematics at grade 4/C or equivalent.</x:v>
      </x:c>
      <x:c r="K145" s="35" t="str">
        <x:v>https://www.keele.ac.uk/clearing/entry-requirements/</x:v>
      </x:c>
      <x:c r="L145" s="35" t="str">
        <x:v>https://www.keele.ac.uk/study/undergraduate-2026/undergraduatecourses/englishandcreativewriting/</x:v>
      </x:c>
      <x:c r="M145" s="33" t="str">
        <x:v>Yes</x:v>
      </x:c>
      <x:c r="N145" s="38" t="n">
        <x:v>46195</x:v>
      </x:c>
      <x:c r="O145" s="35" t="str">
        <x:v>Clearing content team</x:v>
      </x:c>
      <x:c r="P145" s="35" t="str">
        <x:v>Initial import from Clearing vacancies and ER page for 2026.docx</x:v>
      </x:c>
      <x:c r="Q145" s="36" t="str">
        <x:f>IF(A145="","Missing ID",IF(COUNTIF($A$5:$A$1000,A145)&gt;1,"Duplicate ID",IF(C145="","Missing title",IF(D145="","Missing type",IF(E145="","Missing availability",IF(H145="","Missing offer",IF(L145="","Missing course URL",IF(ISERROR(SEARCH("https://www.keele.ac.uk/",L145)),"Non-Keele URL",IF(AND(D145="Foundation year",ISERROR(SEARCH("#foundationyear",L145))),"FY URL missing #foundationyear",IF(M145="","Missing display status",IF(N145="","Missing review date",IF(O145="","Missing owner",IF(P145="","Missing change note","OK")))))))))))))</x:f>
        <x:v>OK</x:v>
      </x:c>
    </x:row>
    <x:row r="146">
      <x:c r="A146" s="33" t="str">
        <x:v>2026-englishandcreativewriting-FY</x:v>
      </x:c>
      <x:c r="B146" s="37" t="n">
        <x:v>2026</x:v>
      </x:c>
      <x:c r="C146" s="35" t="str">
        <x:v>English and Creative Writing with Foundation Year</x:v>
      </x:c>
      <x:c r="D146" s="33" t="str">
        <x:v>Foundation year</x:v>
      </x:c>
      <x:c r="E146" s="33" t="str">
        <x:v>Vacancies</x:v>
      </x:c>
      <x:c r="F146" s="33" t="str"/>
      <x:c r="G146" s="33" t="str"/>
      <x:c r="H146" s="35" t="str">
        <x:v>Course-specific</x:v>
      </x:c>
      <x:c r="I146" s="35" t="str">
        <x:v>No</x:v>
      </x:c>
      <x:c r="J146" s="35" t="str">
        <x:v>Foundation Year requirements vary by course. View the full course details or call 01782 491120 to discuss your qualifications.</x:v>
      </x:c>
      <x:c r="K146" s="35" t="str">
        <x:v>https://www.keele.ac.uk/clearing/entry-requirements/</x:v>
      </x:c>
      <x:c r="L146" s="35" t="str">
        <x:v>https://www.keele.ac.uk/study/undergraduate-2026/undergraduatecourses/englishandcreativewriting/#foundationyear</x:v>
      </x:c>
      <x:c r="M146" s="33" t="str">
        <x:v>Yes</x:v>
      </x:c>
      <x:c r="N146" s="38" t="n">
        <x:v>46195</x:v>
      </x:c>
      <x:c r="O146" s="35" t="str">
        <x:v>Clearing content team</x:v>
      </x:c>
      <x:c r="P146" s="35" t="str">
        <x:v>Initial import from Clearing vacancies and ER page for 2026.docx</x:v>
      </x:c>
      <x:c r="Q146" s="36" t="str">
        <x:f>IF(A146="","Missing ID",IF(COUNTIF($A$5:$A$1000,A146)&gt;1,"Duplicate ID",IF(C146="","Missing title",IF(D146="","Missing type",IF(E146="","Missing availability",IF(H146="","Missing offer",IF(L146="","Missing course URL",IF(ISERROR(SEARCH("https://www.keele.ac.uk/",L146)),"Non-Keele URL",IF(AND(D146="Foundation year",ISERROR(SEARCH("#foundationyear",L146))),"FY URL missing #foundationyear",IF(M146="","Missing display status",IF(N146="","Missing review date",IF(O146="","Missing owner",IF(P146="","Missing change note","OK")))))))))))))</x:f>
        <x:v>OK</x:v>
      </x:c>
    </x:row>
    <x:row r="147">
      <x:c r="A147" s="33" t="str">
        <x:v>2026-Q3P3-UG</x:v>
      </x:c>
      <x:c r="B147" s="37" t="n">
        <x:v>2026</x:v>
      </x:c>
      <x:c r="C147" s="35" t="str">
        <x:v>English and Film Studies</x:v>
      </x:c>
      <x:c r="D147" s="33" t="str">
        <x:v>Undergraduate</x:v>
      </x:c>
      <x:c r="E147" s="33" t="str">
        <x:v>Vacancies</x:v>
      </x:c>
      <x:c r="F147" s="33" t="str">
        <x:v>Q3P3</x:v>
      </x:c>
      <x:c r="G147" s="33" t="str">
        <x:v>BA (Hons)</x:v>
      </x:c>
      <x:c r="H147" s="35" t="str">
        <x:v>64 UCAS tariff points</x:v>
      </x:c>
      <x:c r="I147" s="35" t="str">
        <x:v>No</x:v>
      </x:c>
      <x:c r="J147" s="35" t="str">
        <x:v>Most undergraduate courses require GCSE English Language at grade 4/C or equivalent. Some courses also require GCSE Mathematics at grade 4/C or equivalent.</x:v>
      </x:c>
      <x:c r="K147" s="35" t="str">
        <x:v>https://www.keele.ac.uk/clearing/entry-requirements/</x:v>
      </x:c>
      <x:c r="L147" s="35" t="str">
        <x:v>https://www.keele.ac.uk/study/undergraduate-2026/undergraduatecourses/englishandfilmstudies/</x:v>
      </x:c>
      <x:c r="M147" s="33" t="str">
        <x:v>Yes</x:v>
      </x:c>
      <x:c r="N147" s="38" t="n">
        <x:v>46195</x:v>
      </x:c>
      <x:c r="O147" s="35" t="str">
        <x:v>Clearing content team</x:v>
      </x:c>
      <x:c r="P147" s="35" t="str">
        <x:v>Initial import from Clearing vacancies and ER page for 2026.docx</x:v>
      </x:c>
      <x:c r="Q147" s="36" t="str">
        <x:f>IF(A147="","Missing ID",IF(COUNTIF($A$5:$A$1000,A147)&gt;1,"Duplicate ID",IF(C147="","Missing title",IF(D147="","Missing type",IF(E147="","Missing availability",IF(H147="","Missing offer",IF(L147="","Missing course URL",IF(ISERROR(SEARCH("https://www.keele.ac.uk/",L147)),"Non-Keele URL",IF(AND(D147="Foundation year",ISERROR(SEARCH("#foundationyear",L147))),"FY URL missing #foundationyear",IF(M147="","Missing display status",IF(N147="","Missing review date",IF(O147="","Missing owner",IF(P147="","Missing change note","OK")))))))))))))</x:f>
        <x:v>OK</x:v>
      </x:c>
    </x:row>
    <x:row r="148">
      <x:c r="A148" s="33" t="str">
        <x:v>2026-englishandfilmstudies-FY</x:v>
      </x:c>
      <x:c r="B148" s="37" t="n">
        <x:v>2026</x:v>
      </x:c>
      <x:c r="C148" s="35" t="str">
        <x:v>English and Film Studies with Foundation Year</x:v>
      </x:c>
      <x:c r="D148" s="33" t="str">
        <x:v>Foundation year</x:v>
      </x:c>
      <x:c r="E148" s="33" t="str">
        <x:v>Vacancies</x:v>
      </x:c>
      <x:c r="F148" s="33" t="str"/>
      <x:c r="G148" s="33" t="str"/>
      <x:c r="H148" s="35" t="str">
        <x:v>Course-specific</x:v>
      </x:c>
      <x:c r="I148" s="35" t="str">
        <x:v>No</x:v>
      </x:c>
      <x:c r="J148" s="35" t="str">
        <x:v>Foundation Year requirements vary by course. View the full course details or call 01782 491120 to discuss your qualifications.</x:v>
      </x:c>
      <x:c r="K148" s="35" t="str">
        <x:v>https://www.keele.ac.uk/clearing/entry-requirements/</x:v>
      </x:c>
      <x:c r="L148" s="35" t="str">
        <x:v>https://www.keele.ac.uk/study/undergraduate-2026/undergraduatecourses/englishandfilmstudies/#foundationyear</x:v>
      </x:c>
      <x:c r="M148" s="33" t="str">
        <x:v>Yes</x:v>
      </x:c>
      <x:c r="N148" s="38" t="n">
        <x:v>46195</x:v>
      </x:c>
      <x:c r="O148" s="35" t="str">
        <x:v>Clearing content team</x:v>
      </x:c>
      <x:c r="P148" s="35" t="str">
        <x:v>Initial import from Clearing vacancies and ER page for 2026.docx</x:v>
      </x:c>
      <x:c r="Q148" s="36" t="str">
        <x:f>IF(A148="","Missing ID",IF(COUNTIF($A$5:$A$1000,A148)&gt;1,"Duplicate ID",IF(C148="","Missing title",IF(D148="","Missing type",IF(E148="","Missing availability",IF(H148="","Missing offer",IF(L148="","Missing course URL",IF(ISERROR(SEARCH("https://www.keele.ac.uk/",L148)),"Non-Keele URL",IF(AND(D148="Foundation year",ISERROR(SEARCH("#foundationyear",L148))),"FY URL missing #foundationyear",IF(M148="","Missing display status",IF(N148="","Missing review date",IF(O148="","Missing owner",IF(P148="","Missing change note","OK")))))))))))))</x:f>
        <x:v>OK</x:v>
      </x:c>
    </x:row>
    <x:row r="149">
      <x:c r="A149" s="33" t="str">
        <x:v>2026-Q3V1-UG</x:v>
      </x:c>
      <x:c r="B149" s="37" t="n">
        <x:v>2026</x:v>
      </x:c>
      <x:c r="C149" s="35" t="str">
        <x:v>English and History</x:v>
      </x:c>
      <x:c r="D149" s="33" t="str">
        <x:v>Undergraduate</x:v>
      </x:c>
      <x:c r="E149" s="33" t="str">
        <x:v>Vacancies</x:v>
      </x:c>
      <x:c r="F149" s="33" t="str">
        <x:v>Q3V1</x:v>
      </x:c>
      <x:c r="G149" s="33" t="str">
        <x:v>BA (Hons)</x:v>
      </x:c>
      <x:c r="H149" s="35" t="str">
        <x:v>64 UCAS tariff points</x:v>
      </x:c>
      <x:c r="I149" s="35" t="str">
        <x:v>No</x:v>
      </x:c>
      <x:c r="J149" s="35" t="str">
        <x:v>Most undergraduate courses require GCSE English Language at grade 4/C or equivalent. Some courses also require GCSE Mathematics at grade 4/C or equivalent.</x:v>
      </x:c>
      <x:c r="K149" s="35" t="str">
        <x:v>https://www.keele.ac.uk/clearing/entry-requirements/</x:v>
      </x:c>
      <x:c r="L149" s="35" t="str">
        <x:v>https://www.keele.ac.uk/study/undergraduate-2026/undergraduatecourses/englishandhistory/</x:v>
      </x:c>
      <x:c r="M149" s="33" t="str">
        <x:v>Yes</x:v>
      </x:c>
      <x:c r="N149" s="38" t="n">
        <x:v>46195</x:v>
      </x:c>
      <x:c r="O149" s="35" t="str">
        <x:v>Clearing content team</x:v>
      </x:c>
      <x:c r="P149" s="35" t="str">
        <x:v>Initial import from Clearing vacancies and ER page for 2026.docx</x:v>
      </x:c>
      <x:c r="Q149" s="36" t="str">
        <x:f>IF(A149="","Missing ID",IF(COUNTIF($A$5:$A$1000,A149)&gt;1,"Duplicate ID",IF(C149="","Missing title",IF(D149="","Missing type",IF(E149="","Missing availability",IF(H149="","Missing offer",IF(L149="","Missing course URL",IF(ISERROR(SEARCH("https://www.keele.ac.uk/",L149)),"Non-Keele URL",IF(AND(D149="Foundation year",ISERROR(SEARCH("#foundationyear",L149))),"FY URL missing #foundationyear",IF(M149="","Missing display status",IF(N149="","Missing review date",IF(O149="","Missing owner",IF(P149="","Missing change note","OK")))))))))))))</x:f>
        <x:v>OK</x:v>
      </x:c>
    </x:row>
    <x:row r="150">
      <x:c r="A150" s="33" t="str">
        <x:v>2026-englishandhistory-FY</x:v>
      </x:c>
      <x:c r="B150" s="37" t="n">
        <x:v>2026</x:v>
      </x:c>
      <x:c r="C150" s="35" t="str">
        <x:v>English and History with Foundation Year</x:v>
      </x:c>
      <x:c r="D150" s="33" t="str">
        <x:v>Foundation year</x:v>
      </x:c>
      <x:c r="E150" s="33" t="str">
        <x:v>Vacancies</x:v>
      </x:c>
      <x:c r="F150" s="33" t="str"/>
      <x:c r="G150" s="33" t="str"/>
      <x:c r="H150" s="35" t="str">
        <x:v>Course-specific</x:v>
      </x:c>
      <x:c r="I150" s="35" t="str">
        <x:v>No</x:v>
      </x:c>
      <x:c r="J150" s="35" t="str">
        <x:v>Foundation Year requirements vary by course. View the full course details or call 01782 491120 to discuss your qualifications.</x:v>
      </x:c>
      <x:c r="K150" s="35" t="str">
        <x:v>https://www.keele.ac.uk/clearing/entry-requirements/</x:v>
      </x:c>
      <x:c r="L150" s="35" t="str">
        <x:v>https://www.keele.ac.uk/study/undergraduate-2026/undergraduatecourses/englishandhistory/#foundationyear</x:v>
      </x:c>
      <x:c r="M150" s="33" t="str">
        <x:v>Yes</x:v>
      </x:c>
      <x:c r="N150" s="38" t="n">
        <x:v>46195</x:v>
      </x:c>
      <x:c r="O150" s="35" t="str">
        <x:v>Clearing content team</x:v>
      </x:c>
      <x:c r="P150" s="35" t="str">
        <x:v>Initial import from Clearing vacancies and ER page for 2026.docx</x:v>
      </x:c>
      <x:c r="Q150" s="36" t="str">
        <x:f>IF(A150="","Missing ID",IF(COUNTIF($A$5:$A$1000,A150)&gt;1,"Duplicate ID",IF(C150="","Missing title",IF(D150="","Missing type",IF(E150="","Missing availability",IF(H150="","Missing offer",IF(L150="","Missing course URL",IF(ISERROR(SEARCH("https://www.keele.ac.uk/",L150)),"Non-Keele URL",IF(AND(D150="Foundation year",ISERROR(SEARCH("#foundationyear",L150))),"FY URL missing #foundationyear",IF(M150="","Missing display status",IF(N150="","Missing review date",IF(O150="","Missing owner",IF(P150="","Missing change note","OK")))))))))))))</x:f>
        <x:v>OK</x:v>
      </x:c>
    </x:row>
    <x:row r="151">
      <x:c r="A151" s="33" t="str">
        <x:v>2026-QV3A-UG</x:v>
      </x:c>
      <x:c r="B151" s="37" t="n">
        <x:v>2026</x:v>
      </x:c>
      <x:c r="C151" s="35" t="str">
        <x:v>English and Philosophy</x:v>
      </x:c>
      <x:c r="D151" s="33" t="str">
        <x:v>Undergraduate</x:v>
      </x:c>
      <x:c r="E151" s="33" t="str">
        <x:v>Vacancies</x:v>
      </x:c>
      <x:c r="F151" s="33" t="str">
        <x:v>QV3A</x:v>
      </x:c>
      <x:c r="G151" s="33" t="str">
        <x:v>BA (Hons)</x:v>
      </x:c>
      <x:c r="H151" s="35" t="str">
        <x:v>64 UCAS tariff points</x:v>
      </x:c>
      <x:c r="I151" s="35" t="str">
        <x:v>No</x:v>
      </x:c>
      <x:c r="J151" s="35" t="str">
        <x:v>Most undergraduate courses require GCSE English Language at grade 4/C or equivalent. Some courses also require GCSE Mathematics at grade 4/C or equivalent.</x:v>
      </x:c>
      <x:c r="K151" s="35" t="str">
        <x:v>https://www.keele.ac.uk/clearing/entry-requirements/</x:v>
      </x:c>
      <x:c r="L151" s="35" t="str">
        <x:v>https://www.keele.ac.uk/study/undergraduate-2026/undergraduatecourses/englishandphilosophy/</x:v>
      </x:c>
      <x:c r="M151" s="33" t="str">
        <x:v>Yes</x:v>
      </x:c>
      <x:c r="N151" s="38" t="n">
        <x:v>46195</x:v>
      </x:c>
      <x:c r="O151" s="35" t="str">
        <x:v>Clearing content team</x:v>
      </x:c>
      <x:c r="P151" s="35" t="str">
        <x:v>Initial import from Clearing vacancies and ER page for 2026.docx</x:v>
      </x:c>
      <x:c r="Q151" s="36" t="str">
        <x:f>IF(A151="","Missing ID",IF(COUNTIF($A$5:$A$1000,A151)&gt;1,"Duplicate ID",IF(C151="","Missing title",IF(D151="","Missing type",IF(E151="","Missing availability",IF(H151="","Missing offer",IF(L151="","Missing course URL",IF(ISERROR(SEARCH("https://www.keele.ac.uk/",L151)),"Non-Keele URL",IF(AND(D151="Foundation year",ISERROR(SEARCH("#foundationyear",L151))),"FY URL missing #foundationyear",IF(M151="","Missing display status",IF(N151="","Missing review date",IF(O151="","Missing owner",IF(P151="","Missing change note","OK")))))))))))))</x:f>
        <x:v>OK</x:v>
      </x:c>
    </x:row>
    <x:row r="152">
      <x:c r="A152" s="33" t="str">
        <x:v>2026-englishandphilosophy-FY</x:v>
      </x:c>
      <x:c r="B152" s="37" t="n">
        <x:v>2026</x:v>
      </x:c>
      <x:c r="C152" s="35" t="str">
        <x:v>English and Philosophy with Foundation Year</x:v>
      </x:c>
      <x:c r="D152" s="33" t="str">
        <x:v>Foundation year</x:v>
      </x:c>
      <x:c r="E152" s="33" t="str">
        <x:v>Vacancies</x:v>
      </x:c>
      <x:c r="F152" s="33" t="str"/>
      <x:c r="G152" s="33" t="str"/>
      <x:c r="H152" s="35" t="str">
        <x:v>Course-specific</x:v>
      </x:c>
      <x:c r="I152" s="35" t="str">
        <x:v>No</x:v>
      </x:c>
      <x:c r="J152" s="35" t="str">
        <x:v>Foundation Year requirements vary by course. View the full course details or call 01782 491120 to discuss your qualifications.</x:v>
      </x:c>
      <x:c r="K152" s="35" t="str">
        <x:v>https://www.keele.ac.uk/clearing/entry-requirements/</x:v>
      </x:c>
      <x:c r="L152" s="35" t="str">
        <x:v>https://www.keele.ac.uk/study/undergraduate-2026/undergraduatecourses/englishandphilosophy/#foundationyear</x:v>
      </x:c>
      <x:c r="M152" s="33" t="str">
        <x:v>Yes</x:v>
      </x:c>
      <x:c r="N152" s="38" t="n">
        <x:v>46195</x:v>
      </x:c>
      <x:c r="O152" s="35" t="str">
        <x:v>Clearing content team</x:v>
      </x:c>
      <x:c r="P152" s="35" t="str">
        <x:v>Initial import from Clearing vacancies and ER page for 2026.docx</x:v>
      </x:c>
      <x:c r="Q152" s="36" t="str">
        <x:f>IF(A152="","Missing ID",IF(COUNTIF($A$5:$A$1000,A152)&gt;1,"Duplicate ID",IF(C152="","Missing title",IF(D152="","Missing type",IF(E152="","Missing availability",IF(H152="","Missing offer",IF(L152="","Missing course URL",IF(ISERROR(SEARCH("https://www.keele.ac.uk/",L152)),"Non-Keele URL",IF(AND(D152="Foundation year",ISERROR(SEARCH("#foundationyear",L152))),"FY URL missing #foundationyear",IF(M152="","Missing display status",IF(N152="","Missing review date",IF(O152="","Missing owner",IF(P152="","Missing change note","OK")))))))))))))</x:f>
        <x:v>OK</x:v>
      </x:c>
    </x:row>
    <x:row r="153">
      <x:c r="A153" s="33" t="str">
        <x:v>2026-english-FY</x:v>
      </x:c>
      <x:c r="B153" s="37" t="n">
        <x:v>2026</x:v>
      </x:c>
      <x:c r="C153" s="35" t="str">
        <x:v>English with Foundation Year</x:v>
      </x:c>
      <x:c r="D153" s="33" t="str">
        <x:v>Foundation year</x:v>
      </x:c>
      <x:c r="E153" s="33" t="str">
        <x:v>Vacancies</x:v>
      </x:c>
      <x:c r="F153" s="33" t="str"/>
      <x:c r="G153" s="33" t="str"/>
      <x:c r="H153" s="35" t="str">
        <x:v>Course-specific</x:v>
      </x:c>
      <x:c r="I153" s="35" t="str">
        <x:v>No</x:v>
      </x:c>
      <x:c r="J153" s="35" t="str">
        <x:v>Foundation Year requirements vary by course. View the full course details or call 01782 491120 to discuss your qualifications.</x:v>
      </x:c>
      <x:c r="K153" s="35" t="str">
        <x:v>https://www.keele.ac.uk/clearing/entry-requirements/</x:v>
      </x:c>
      <x:c r="L153" s="35" t="str">
        <x:v>https://www.keele.ac.uk/study/undergraduate-2026/undergraduatecourses/english/#foundationyear</x:v>
      </x:c>
      <x:c r="M153" s="33" t="str">
        <x:v>Yes</x:v>
      </x:c>
      <x:c r="N153" s="38" t="n">
        <x:v>46195</x:v>
      </x:c>
      <x:c r="O153" s="35" t="str">
        <x:v>Clearing content team</x:v>
      </x:c>
      <x:c r="P153" s="35" t="str">
        <x:v>Initial import from Clearing vacancies and ER page for 2026.docx</x:v>
      </x:c>
      <x:c r="Q153" s="36" t="str">
        <x:f>IF(A153="","Missing ID",IF(COUNTIF($A$5:$A$1000,A153)&gt;1,"Duplicate ID",IF(C153="","Missing title",IF(D153="","Missing type",IF(E153="","Missing availability",IF(H153="","Missing offer",IF(L153="","Missing course URL",IF(ISERROR(SEARCH("https://www.keele.ac.uk/",L153)),"Non-Keele URL",IF(AND(D153="Foundation year",ISERROR(SEARCH("#foundationyear",L153))),"FY URL missing #foundationyear",IF(M153="","Missing display status",IF(N153="","Missing review date",IF(O153="","Missing owner",IF(P153="","Missing change note","OK")))))))))))))</x:f>
        <x:v>OK</x:v>
      </x:c>
    </x:row>
    <x:row r="154">
      <x:c r="A154" s="33" t="str">
        <x:v>2026-F901-UG</x:v>
      </x:c>
      <x:c r="B154" s="37" t="n">
        <x:v>2026</x:v>
      </x:c>
      <x:c r="C154" s="35" t="str">
        <x:v>Environmental Science</x:v>
      </x:c>
      <x:c r="D154" s="33" t="str">
        <x:v>Undergraduate</x:v>
      </x:c>
      <x:c r="E154" s="33" t="str">
        <x:v>Vacancies</x:v>
      </x:c>
      <x:c r="F154" s="33" t="str">
        <x:v>F901</x:v>
      </x:c>
      <x:c r="G154" s="33" t="str">
        <x:v>BSc (Hons)</x:v>
      </x:c>
      <x:c r="H154" s="35" t="str">
        <x:v>64 UCAS tariff points</x:v>
      </x:c>
      <x:c r="I154" s="35" t="str">
        <x:v>No</x:v>
      </x:c>
      <x:c r="J154" s="35" t="str">
        <x:v>Most undergraduate courses require GCSE English Language at grade 4/C or equivalent. Some courses also require GCSE Mathematics at grade 4/C or equivalent.</x:v>
      </x:c>
      <x:c r="K154" s="35" t="str">
        <x:v>https://www.keele.ac.uk/clearing/entry-requirements/</x:v>
      </x:c>
      <x:c r="L154" s="35" t="str">
        <x:v>https://www.keele.ac.uk/study/undergraduate-2026/undergraduatecourses/environmentalscience/</x:v>
      </x:c>
      <x:c r="M154" s="33" t="str">
        <x:v>Yes</x:v>
      </x:c>
      <x:c r="N154" s="38" t="n">
        <x:v>46195</x:v>
      </x:c>
      <x:c r="O154" s="35" t="str">
        <x:v>Clearing content team</x:v>
      </x:c>
      <x:c r="P154" s="35" t="str">
        <x:v>Initial import from Clearing vacancies and ER page for 2026.docx</x:v>
      </x:c>
      <x:c r="Q154" s="36" t="str">
        <x:f>IF(A154="","Missing ID",IF(COUNTIF($A$5:$A$1000,A154)&gt;1,"Duplicate ID",IF(C154="","Missing title",IF(D154="","Missing type",IF(E154="","Missing availability",IF(H154="","Missing offer",IF(L154="","Missing course URL",IF(ISERROR(SEARCH("https://www.keele.ac.uk/",L154)),"Non-Keele URL",IF(AND(D154="Foundation year",ISERROR(SEARCH("#foundationyear",L154))),"FY URL missing #foundationyear",IF(M154="","Missing display status",IF(N154="","Missing review date",IF(O154="","Missing owner",IF(P154="","Missing change note","OK")))))))))))))</x:f>
        <x:v>OK</x:v>
      </x:c>
    </x:row>
    <x:row r="155">
      <x:c r="A155" s="33" t="str">
        <x:v>2026-FL97-UG</x:v>
      </x:c>
      <x:c r="B155" s="37" t="n">
        <x:v>2026</x:v>
      </x:c>
      <x:c r="C155" s="35" t="str">
        <x:v>Environmental Science and Geography</x:v>
      </x:c>
      <x:c r="D155" s="33" t="str">
        <x:v>Undergraduate</x:v>
      </x:c>
      <x:c r="E155" s="33" t="str">
        <x:v>Vacancies</x:v>
      </x:c>
      <x:c r="F155" s="33" t="str">
        <x:v>FL97</x:v>
      </x:c>
      <x:c r="G155" s="33" t="str">
        <x:v>BSc (Hons)</x:v>
      </x:c>
      <x:c r="H155" s="35" t="str">
        <x:v>64 UCAS tariff points</x:v>
      </x:c>
      <x:c r="I155" s="35" t="str">
        <x:v>No</x:v>
      </x:c>
      <x:c r="J155" s="35" t="str">
        <x:v>Most undergraduate courses require GCSE English Language at grade 4/C or equivalent. Some courses also require GCSE Mathematics at grade 4/C or equivalent.</x:v>
      </x:c>
      <x:c r="K155" s="35" t="str">
        <x:v>https://www.keele.ac.uk/clearing/entry-requirements/</x:v>
      </x:c>
      <x:c r="L155" s="35" t="str">
        <x:v>https://www.keele.ac.uk/study/undergraduate-2026/undergraduatecourses/environmentalscienceandgeography/</x:v>
      </x:c>
      <x:c r="M155" s="33" t="str">
        <x:v>Yes</x:v>
      </x:c>
      <x:c r="N155" s="38" t="n">
        <x:v>46195</x:v>
      </x:c>
      <x:c r="O155" s="35" t="str">
        <x:v>Clearing content team</x:v>
      </x:c>
      <x:c r="P155" s="35" t="str">
        <x:v>Initial import from Clearing vacancies and ER page for 2026.docx</x:v>
      </x:c>
      <x:c r="Q155" s="36" t="str">
        <x:f>IF(A155="","Missing ID",IF(COUNTIF($A$5:$A$1000,A155)&gt;1,"Duplicate ID",IF(C155="","Missing title",IF(D155="","Missing type",IF(E155="","Missing availability",IF(H155="","Missing offer",IF(L155="","Missing course URL",IF(ISERROR(SEARCH("https://www.keele.ac.uk/",L155)),"Non-Keele URL",IF(AND(D155="Foundation year",ISERROR(SEARCH("#foundationyear",L155))),"FY URL missing #foundationyear",IF(M155="","Missing display status",IF(N155="","Missing review date",IF(O155="","Missing owner",IF(P155="","Missing change note","OK")))))))))))))</x:f>
        <x:v>OK</x:v>
      </x:c>
    </x:row>
    <x:row r="156">
      <x:c r="A156" s="33" t="str">
        <x:v>2026-environmentalscienceandgeography-FY</x:v>
      </x:c>
      <x:c r="B156" s="37" t="n">
        <x:v>2026</x:v>
      </x:c>
      <x:c r="C156" s="35" t="str">
        <x:v>Environmental Science and Geography with Foundation Year</x:v>
      </x:c>
      <x:c r="D156" s="33" t="str">
        <x:v>Foundation year</x:v>
      </x:c>
      <x:c r="E156" s="33" t="str">
        <x:v>Vacancies</x:v>
      </x:c>
      <x:c r="F156" s="33" t="str"/>
      <x:c r="G156" s="33" t="str"/>
      <x:c r="H156" s="35" t="str">
        <x:v>Course-specific</x:v>
      </x:c>
      <x:c r="I156" s="35" t="str">
        <x:v>No</x:v>
      </x:c>
      <x:c r="J156" s="35" t="str">
        <x:v>Foundation Year requirements vary by course. View the full course details or call 01782 491120 to discuss your qualifications.</x:v>
      </x:c>
      <x:c r="K156" s="35" t="str">
        <x:v>https://www.keele.ac.uk/clearing/entry-requirements/</x:v>
      </x:c>
      <x:c r="L156" s="35" t="str">
        <x:v>https://www.keele.ac.uk/study/undergraduate-2026/undergraduatecourses/environmentalscienceandgeography/#foundationyear</x:v>
      </x:c>
      <x:c r="M156" s="33" t="str">
        <x:v>Yes</x:v>
      </x:c>
      <x:c r="N156" s="38" t="n">
        <x:v>46195</x:v>
      </x:c>
      <x:c r="O156" s="35" t="str">
        <x:v>Clearing content team</x:v>
      </x:c>
      <x:c r="P156" s="35" t="str">
        <x:v>Initial import from Clearing vacancies and ER page for 2026.docx</x:v>
      </x:c>
      <x:c r="Q156" s="36" t="str">
        <x:f>IF(A156="","Missing ID",IF(COUNTIF($A$5:$A$1000,A156)&gt;1,"Duplicate ID",IF(C156="","Missing title",IF(D156="","Missing type",IF(E156="","Missing availability",IF(H156="","Missing offer",IF(L156="","Missing course URL",IF(ISERROR(SEARCH("https://www.keele.ac.uk/",L156)),"Non-Keele URL",IF(AND(D156="Foundation year",ISERROR(SEARCH("#foundationyear",L156))),"FY URL missing #foundationyear",IF(M156="","Missing display status",IF(N156="","Missing review date",IF(O156="","Missing owner",IF(P156="","Missing change note","OK")))))))))))))</x:f>
        <x:v>OK</x:v>
      </x:c>
    </x:row>
    <x:row r="157">
      <x:c r="A157" s="33" t="str">
        <x:v>2026-FL98-UG</x:v>
      </x:c>
      <x:c r="B157" s="37" t="n">
        <x:v>2026</x:v>
      </x:c>
      <x:c r="C157" s="35" t="str">
        <x:v>Environmental Science and Geography with Integrated Master's</x:v>
      </x:c>
      <x:c r="D157" s="33" t="str">
        <x:v>Undergraduate</x:v>
      </x:c>
      <x:c r="E157" s="33" t="str">
        <x:v>Vacancies</x:v>
      </x:c>
      <x:c r="F157" s="33" t="str">
        <x:v>FL98</x:v>
      </x:c>
      <x:c r="G157" s="33" t="str">
        <x:v>MSci</x:v>
      </x:c>
      <x:c r="H157" s="35" t="str">
        <x:v>64 UCAS tariff points</x:v>
      </x:c>
      <x:c r="I157" s="35" t="str">
        <x:v>No</x:v>
      </x:c>
      <x:c r="J157" s="35" t="str">
        <x:v>Most undergraduate courses require GCSE English Language at grade 4/C or equivalent. Some courses also require GCSE Mathematics at grade 4/C or equivalent.</x:v>
      </x:c>
      <x:c r="K157" s="35" t="str">
        <x:v>https://www.keele.ac.uk/clearing/entry-requirements/</x:v>
      </x:c>
      <x:c r="L157" s="35" t="str">
        <x:v>https://www.keele.ac.uk/study/undergraduate-2026/undergraduatecourses/environmentalscienceandgeographywithintegratedmasters/</x:v>
      </x:c>
      <x:c r="M157" s="33" t="str">
        <x:v>Yes</x:v>
      </x:c>
      <x:c r="N157" s="38" t="n">
        <x:v>46195</x:v>
      </x:c>
      <x:c r="O157" s="35" t="str">
        <x:v>Clearing content team</x:v>
      </x:c>
      <x:c r="P157" s="35" t="str">
        <x:v>Initial import from Clearing vacancies and ER page for 2026.docx</x:v>
      </x:c>
      <x:c r="Q157" s="36" t="str">
        <x:f>IF(A157="","Missing ID",IF(COUNTIF($A$5:$A$1000,A157)&gt;1,"Duplicate ID",IF(C157="","Missing title",IF(D157="","Missing type",IF(E157="","Missing availability",IF(H157="","Missing offer",IF(L157="","Missing course URL",IF(ISERROR(SEARCH("https://www.keele.ac.uk/",L157)),"Non-Keele URL",IF(AND(D157="Foundation year",ISERROR(SEARCH("#foundationyear",L157))),"FY URL missing #foundationyear",IF(M157="","Missing display status",IF(N157="","Missing review date",IF(O157="","Missing owner",IF(P157="","Missing change note","OK")))))))))))))</x:f>
        <x:v>OK</x:v>
      </x:c>
    </x:row>
    <x:row r="158">
      <x:c r="A158" s="33" t="str">
        <x:v>2026-environmentalscienceandgeographywithintegratedmasters-FY</x:v>
      </x:c>
      <x:c r="B158" s="37" t="n">
        <x:v>2026</x:v>
      </x:c>
      <x:c r="C158" s="35" t="str">
        <x:v>Environmental Science and Geography with Integrated Master's with Foundation Year</x:v>
      </x:c>
      <x:c r="D158" s="33" t="str">
        <x:v>Foundation year</x:v>
      </x:c>
      <x:c r="E158" s="33" t="str">
        <x:v>Vacancies</x:v>
      </x:c>
      <x:c r="F158" s="33" t="str"/>
      <x:c r="G158" s="33" t="str"/>
      <x:c r="H158" s="35" t="str">
        <x:v>Course-specific</x:v>
      </x:c>
      <x:c r="I158" s="35" t="str">
        <x:v>No</x:v>
      </x:c>
      <x:c r="J158" s="35" t="str">
        <x:v>Foundation Year requirements vary by course. View the full course details or call 01782 491120 to discuss your qualifications.</x:v>
      </x:c>
      <x:c r="K158" s="35" t="str">
        <x:v>https://www.keele.ac.uk/clearing/entry-requirements/</x:v>
      </x:c>
      <x:c r="L158" s="35" t="str">
        <x:v>https://www.keele.ac.uk/study/undergraduate-2026/undergraduatecourses/environmentalscienceandgeographywithintegratedmasters/#foundationyear</x:v>
      </x:c>
      <x:c r="M158" s="33" t="str">
        <x:v>Yes</x:v>
      </x:c>
      <x:c r="N158" s="38" t="n">
        <x:v>46195</x:v>
      </x:c>
      <x:c r="O158" s="35" t="str">
        <x:v>Clearing content team</x:v>
      </x:c>
      <x:c r="P158" s="35" t="str">
        <x:v>Initial import from Clearing vacancies and ER page for 2026.docx</x:v>
      </x:c>
      <x:c r="Q158" s="36" t="str">
        <x:f>IF(A158="","Missing ID",IF(COUNTIF($A$5:$A$1000,A158)&gt;1,"Duplicate ID",IF(C158="","Missing title",IF(D158="","Missing type",IF(E158="","Missing availability",IF(H158="","Missing offer",IF(L158="","Missing course URL",IF(ISERROR(SEARCH("https://www.keele.ac.uk/",L158)),"Non-Keele URL",IF(AND(D158="Foundation year",ISERROR(SEARCH("#foundationyear",L158))),"FY URL missing #foundationyear",IF(M158="","Missing display status",IF(N158="","Missing review date",IF(O158="","Missing owner",IF(P158="","Missing change note","OK")))))))))))))</x:f>
        <x:v>OK</x:v>
      </x:c>
    </x:row>
    <x:row r="159">
      <x:c r="A159" s="33" t="str">
        <x:v>2026-environmentalscience-FY</x:v>
      </x:c>
      <x:c r="B159" s="37" t="n">
        <x:v>2026</x:v>
      </x:c>
      <x:c r="C159" s="35" t="str">
        <x:v>Environmental Science with Foundation Year</x:v>
      </x:c>
      <x:c r="D159" s="33" t="str">
        <x:v>Foundation year</x:v>
      </x:c>
      <x:c r="E159" s="33" t="str">
        <x:v>Vacancies</x:v>
      </x:c>
      <x:c r="F159" s="33" t="str"/>
      <x:c r="G159" s="33" t="str"/>
      <x:c r="H159" s="35" t="str">
        <x:v>Course-specific</x:v>
      </x:c>
      <x:c r="I159" s="35" t="str">
        <x:v>No</x:v>
      </x:c>
      <x:c r="J159" s="35" t="str">
        <x:v>Foundation Year requirements vary by course. View the full course details or call 01782 491120 to discuss your qualifications.</x:v>
      </x:c>
      <x:c r="K159" s="35" t="str">
        <x:v>https://www.keele.ac.uk/clearing/entry-requirements/</x:v>
      </x:c>
      <x:c r="L159" s="35" t="str">
        <x:v>https://www.keele.ac.uk/study/undergraduate-2026/undergraduatecourses/environmentalscience/#foundationyear</x:v>
      </x:c>
      <x:c r="M159" s="33" t="str">
        <x:v>Yes</x:v>
      </x:c>
      <x:c r="N159" s="38" t="n">
        <x:v>46195</x:v>
      </x:c>
      <x:c r="O159" s="35" t="str">
        <x:v>Clearing content team</x:v>
      </x:c>
      <x:c r="P159" s="35" t="str">
        <x:v>Initial import from Clearing vacancies and ER page for 2026.docx</x:v>
      </x:c>
      <x:c r="Q159" s="36" t="str">
        <x:f>IF(A159="","Missing ID",IF(COUNTIF($A$5:$A$1000,A159)&gt;1,"Duplicate ID",IF(C159="","Missing title",IF(D159="","Missing type",IF(E159="","Missing availability",IF(H159="","Missing offer",IF(L159="","Missing course URL",IF(ISERROR(SEARCH("https://www.keele.ac.uk/",L159)),"Non-Keele URL",IF(AND(D159="Foundation year",ISERROR(SEARCH("#foundationyear",L159))),"FY URL missing #foundationyear",IF(M159="","Missing display status",IF(N159="","Missing review date",IF(O159="","Missing owner",IF(P159="","Missing change note","OK")))))))))))))</x:f>
        <x:v>OK</x:v>
      </x:c>
    </x:row>
    <x:row r="160">
      <x:c r="A160" s="33" t="str">
        <x:v>2026-F903-UG</x:v>
      </x:c>
      <x:c r="B160" s="37" t="n">
        <x:v>2026</x:v>
      </x:c>
      <x:c r="C160" s="35" t="str">
        <x:v>Environmental Science with Integrated Master's</x:v>
      </x:c>
      <x:c r="D160" s="33" t="str">
        <x:v>Undergraduate</x:v>
      </x:c>
      <x:c r="E160" s="33" t="str">
        <x:v>Vacancies</x:v>
      </x:c>
      <x:c r="F160" s="33" t="str">
        <x:v>F903</x:v>
      </x:c>
      <x:c r="G160" s="33" t="str">
        <x:v>MSci</x:v>
      </x:c>
      <x:c r="H160" s="35" t="str">
        <x:v>64 UCAS tariff points</x:v>
      </x:c>
      <x:c r="I160" s="35" t="str">
        <x:v>No</x:v>
      </x:c>
      <x:c r="J160" s="35" t="str">
        <x:v>Most undergraduate courses require GCSE English Language at grade 4/C or equivalent. Some courses also require GCSE Mathematics at grade 4/C or equivalent.</x:v>
      </x:c>
      <x:c r="K160" s="35" t="str">
        <x:v>https://www.keele.ac.uk/clearing/entry-requirements/</x:v>
      </x:c>
      <x:c r="L160" s="35" t="str">
        <x:v>https://www.keele.ac.uk/study/undergraduate-2026/undergraduatecourses/environmentalsciencewithintegratedmasters/</x:v>
      </x:c>
      <x:c r="M160" s="33" t="str">
        <x:v>Yes</x:v>
      </x:c>
      <x:c r="N160" s="38" t="n">
        <x:v>46195</x:v>
      </x:c>
      <x:c r="O160" s="35" t="str">
        <x:v>Clearing content team</x:v>
      </x:c>
      <x:c r="P160" s="35" t="str">
        <x:v>Initial import from Clearing vacancies and ER page for 2026.docx</x:v>
      </x:c>
      <x:c r="Q160" s="36" t="str">
        <x:f>IF(A160="","Missing ID",IF(COUNTIF($A$5:$A$1000,A160)&gt;1,"Duplicate ID",IF(C160="","Missing title",IF(D160="","Missing type",IF(E160="","Missing availability",IF(H160="","Missing offer",IF(L160="","Missing course URL",IF(ISERROR(SEARCH("https://www.keele.ac.uk/",L160)),"Non-Keele URL",IF(AND(D160="Foundation year",ISERROR(SEARCH("#foundationyear",L160))),"FY URL missing #foundationyear",IF(M160="","Missing display status",IF(N160="","Missing review date",IF(O160="","Missing owner",IF(P160="","Missing change note","OK")))))))))))))</x:f>
        <x:v>OK</x:v>
      </x:c>
    </x:row>
    <x:row r="161">
      <x:c r="A161" s="33" t="str">
        <x:v>2026-environmentalsciencewithintegratedmasters-FY</x:v>
      </x:c>
      <x:c r="B161" s="37" t="n">
        <x:v>2026</x:v>
      </x:c>
      <x:c r="C161" s="35" t="str">
        <x:v>Environmental Science with Integrated Master's with Foundation Year</x:v>
      </x:c>
      <x:c r="D161" s="33" t="str">
        <x:v>Foundation year</x:v>
      </x:c>
      <x:c r="E161" s="33" t="str">
        <x:v>Vacancies</x:v>
      </x:c>
      <x:c r="F161" s="33" t="str"/>
      <x:c r="G161" s="33" t="str"/>
      <x:c r="H161" s="35" t="str">
        <x:v>Course-specific</x:v>
      </x:c>
      <x:c r="I161" s="35" t="str">
        <x:v>No</x:v>
      </x:c>
      <x:c r="J161" s="35" t="str">
        <x:v>Foundation Year requirements vary by course. View the full course details or call 01782 491120 to discuss your qualifications.</x:v>
      </x:c>
      <x:c r="K161" s="35" t="str">
        <x:v>https://www.keele.ac.uk/clearing/entry-requirements/</x:v>
      </x:c>
      <x:c r="L161" s="35" t="str">
        <x:v>https://www.keele.ac.uk/study/undergraduate-2026/undergraduatecourses/environmentalsciencewithintegratedmasters/#foundationyear</x:v>
      </x:c>
      <x:c r="M161" s="33" t="str">
        <x:v>Yes</x:v>
      </x:c>
      <x:c r="N161" s="38" t="n">
        <x:v>46195</x:v>
      </x:c>
      <x:c r="O161" s="35" t="str">
        <x:v>Clearing content team</x:v>
      </x:c>
      <x:c r="P161" s="35" t="str">
        <x:v>Initial import from Clearing vacancies and ER page for 2026.docx</x:v>
      </x:c>
      <x:c r="Q161" s="36" t="str">
        <x:f>IF(A161="","Missing ID",IF(COUNTIF($A$5:$A$1000,A161)&gt;1,"Duplicate ID",IF(C161="","Missing title",IF(D161="","Missing type",IF(E161="","Missing availability",IF(H161="","Missing offer",IF(L161="","Missing course URL",IF(ISERROR(SEARCH("https://www.keele.ac.uk/",L161)),"Non-Keele URL",IF(AND(D161="Foundation year",ISERROR(SEARCH("#foundationyear",L161))),"FY URL missing #foundationyear",IF(M161="","Missing display status",IF(N161="","Missing review date",IF(O161="","Missing owner",IF(P161="","Missing change note","OK")))))))))))))</x:f>
        <x:v>OK</x:v>
      </x:c>
    </x:row>
    <x:row r="162">
      <x:c r="A162" s="33" t="str">
        <x:v>2026-G460-UG</x:v>
      </x:c>
      <x:c r="B162" s="37" t="n">
        <x:v>2026</x:v>
      </x:c>
      <x:c r="C162" s="35" t="str">
        <x:v>Esports Business Management</x:v>
      </x:c>
      <x:c r="D162" s="33" t="str">
        <x:v>Undergraduate</x:v>
      </x:c>
      <x:c r="E162" s="33" t="str">
        <x:v>Vacancies</x:v>
      </x:c>
      <x:c r="F162" s="33" t="str">
        <x:v>G460</x:v>
      </x:c>
      <x:c r="G162" s="33" t="str">
        <x:v>BA (Hons)</x:v>
      </x:c>
      <x:c r="H162" s="35" t="str">
        <x:v>64 UCAS tariff points</x:v>
      </x:c>
      <x:c r="I162" s="35" t="str">
        <x:v>No</x:v>
      </x:c>
      <x:c r="J162" s="35" t="str">
        <x:v>Most undergraduate courses require GCSE English Language at grade 4/C or equivalent. Some courses also require GCSE Mathematics at grade 4/C or equivalent.</x:v>
      </x:c>
      <x:c r="K162" s="35" t="str">
        <x:v>https://www.keele.ac.uk/clearing/entry-requirements/</x:v>
      </x:c>
      <x:c r="L162" s="35" t="str">
        <x:v>https://www.keele.ac.uk/study/undergraduate-2026/undergraduatecourses/esportsbusinessmanagement/</x:v>
      </x:c>
      <x:c r="M162" s="33" t="str">
        <x:v>Yes</x:v>
      </x:c>
      <x:c r="N162" s="38" t="n">
        <x:v>46195</x:v>
      </x:c>
      <x:c r="O162" s="35" t="str">
        <x:v>Clearing content team</x:v>
      </x:c>
      <x:c r="P162" s="35" t="str">
        <x:v>Initial import from Clearing vacancies and ER page for 2026.docx</x:v>
      </x:c>
      <x:c r="Q162" s="36" t="str">
        <x:f>IF(A162="","Missing ID",IF(COUNTIF($A$5:$A$1000,A162)&gt;1,"Duplicate ID",IF(C162="","Missing title",IF(D162="","Missing type",IF(E162="","Missing availability",IF(H162="","Missing offer",IF(L162="","Missing course URL",IF(ISERROR(SEARCH("https://www.keele.ac.uk/",L162)),"Non-Keele URL",IF(AND(D162="Foundation year",ISERROR(SEARCH("#foundationyear",L162))),"FY URL missing #foundationyear",IF(M162="","Missing display status",IF(N162="","Missing review date",IF(O162="","Missing owner",IF(P162="","Missing change note","OK")))))))))))))</x:f>
        <x:v>OK</x:v>
      </x:c>
    </x:row>
    <x:row r="163">
      <x:c r="A163" s="33" t="str">
        <x:v>2026-esportsbusinessmanagement-FY</x:v>
      </x:c>
      <x:c r="B163" s="37" t="n">
        <x:v>2026</x:v>
      </x:c>
      <x:c r="C163" s="35" t="str">
        <x:v>Esports Business Management with Foundation Year</x:v>
      </x:c>
      <x:c r="D163" s="33" t="str">
        <x:v>Foundation year</x:v>
      </x:c>
      <x:c r="E163" s="33" t="str">
        <x:v>Vacancies</x:v>
      </x:c>
      <x:c r="F163" s="33" t="str"/>
      <x:c r="G163" s="33" t="str"/>
      <x:c r="H163" s="35" t="str">
        <x:v>Course-specific</x:v>
      </x:c>
      <x:c r="I163" s="35" t="str">
        <x:v>No</x:v>
      </x:c>
      <x:c r="J163" s="35" t="str">
        <x:v>Foundation Year requirements vary by course. View the full course details or call 01782 491120 to discuss your qualifications.</x:v>
      </x:c>
      <x:c r="K163" s="35" t="str">
        <x:v>https://www.keele.ac.uk/clearing/entry-requirements/</x:v>
      </x:c>
      <x:c r="L163" s="35" t="str">
        <x:v>https://www.keele.ac.uk/study/undergraduate-2026/undergraduatecourses/esportsbusinessmanagement/#foundationyear</x:v>
      </x:c>
      <x:c r="M163" s="33" t="str">
        <x:v>Yes</x:v>
      </x:c>
      <x:c r="N163" s="38" t="n">
        <x:v>46195</x:v>
      </x:c>
      <x:c r="O163" s="35" t="str">
        <x:v>Clearing content team</x:v>
      </x:c>
      <x:c r="P163" s="35" t="str">
        <x:v>Initial import from Clearing vacancies and ER page for 2026.docx</x:v>
      </x:c>
      <x:c r="Q163" s="36" t="str">
        <x:f>IF(A163="","Missing ID",IF(COUNTIF($A$5:$A$1000,A163)&gt;1,"Duplicate ID",IF(C163="","Missing title",IF(D163="","Missing type",IF(E163="","Missing availability",IF(H163="","Missing offer",IF(L163="","Missing course URL",IF(ISERROR(SEARCH("https://www.keele.ac.uk/",L163)),"Non-Keele URL",IF(AND(D163="Foundation year",ISERROR(SEARCH("#foundationyear",L163))),"FY URL missing #foundationyear",IF(M163="","Missing display status",IF(N163="","Missing review date",IF(O163="","Missing owner",IF(P163="","Missing change note","OK")))))))))))))</x:f>
        <x:v>OK</x:v>
      </x:c>
    </x:row>
    <x:row r="164">
      <x:c r="A164" s="33" t="str">
        <x:v>2026-P3P9-UG</x:v>
      </x:c>
      <x:c r="B164" s="37" t="n">
        <x:v>2026</x:v>
      </x:c>
      <x:c r="C164" s="35" t="str">
        <x:v>Film and Media Studies</x:v>
      </x:c>
      <x:c r="D164" s="33" t="str">
        <x:v>Undergraduate</x:v>
      </x:c>
      <x:c r="E164" s="33" t="str">
        <x:v>Vacancies</x:v>
      </x:c>
      <x:c r="F164" s="33" t="str">
        <x:v>P3P9</x:v>
      </x:c>
      <x:c r="G164" s="33" t="str">
        <x:v>BA (Hons)</x:v>
      </x:c>
      <x:c r="H164" s="35" t="str">
        <x:v>64 UCAS tariff points</x:v>
      </x:c>
      <x:c r="I164" s="35" t="str">
        <x:v>No</x:v>
      </x:c>
      <x:c r="J164" s="35" t="str">
        <x:v>Most undergraduate courses require GCSE English Language at grade 4/C or equivalent. Some courses also require GCSE Mathematics at grade 4/C or equivalent.</x:v>
      </x:c>
      <x:c r="K164" s="35" t="str">
        <x:v>https://www.keele.ac.uk/clearing/entry-requirements/</x:v>
      </x:c>
      <x:c r="L164" s="35" t="str">
        <x:v>https://www.keele.ac.uk/study/undergraduate-2026/undergraduatecourses/filmandmediastudies/</x:v>
      </x:c>
      <x:c r="M164" s="33" t="str">
        <x:v>Yes</x:v>
      </x:c>
      <x:c r="N164" s="38" t="n">
        <x:v>46195</x:v>
      </x:c>
      <x:c r="O164" s="35" t="str">
        <x:v>Clearing content team</x:v>
      </x:c>
      <x:c r="P164" s="35" t="str">
        <x:v>Initial import from Clearing vacancies and ER page for 2026.docx</x:v>
      </x:c>
      <x:c r="Q164" s="36" t="str">
        <x:f>IF(A164="","Missing ID",IF(COUNTIF($A$5:$A$1000,A164)&gt;1,"Duplicate ID",IF(C164="","Missing title",IF(D164="","Missing type",IF(E164="","Missing availability",IF(H164="","Missing offer",IF(L164="","Missing course URL",IF(ISERROR(SEARCH("https://www.keele.ac.uk/",L164)),"Non-Keele URL",IF(AND(D164="Foundation year",ISERROR(SEARCH("#foundationyear",L164))),"FY URL missing #foundationyear",IF(M164="","Missing display status",IF(N164="","Missing review date",IF(O164="","Missing owner",IF(P164="","Missing change note","OK")))))))))))))</x:f>
        <x:v>OK</x:v>
      </x:c>
    </x:row>
    <x:row r="165">
      <x:c r="A165" s="33" t="str">
        <x:v>2026-filmandmediastudies-FY</x:v>
      </x:c>
      <x:c r="B165" s="37" t="n">
        <x:v>2026</x:v>
      </x:c>
      <x:c r="C165" s="35" t="str">
        <x:v>Film and Media Studies with Foundation Year</x:v>
      </x:c>
      <x:c r="D165" s="33" t="str">
        <x:v>Foundation year</x:v>
      </x:c>
      <x:c r="E165" s="33" t="str">
        <x:v>Vacancies</x:v>
      </x:c>
      <x:c r="F165" s="33" t="str"/>
      <x:c r="G165" s="33" t="str"/>
      <x:c r="H165" s="35" t="str">
        <x:v>Course-specific</x:v>
      </x:c>
      <x:c r="I165" s="35" t="str">
        <x:v>No</x:v>
      </x:c>
      <x:c r="J165" s="35" t="str">
        <x:v>Foundation Year requirements vary by course. View the full course details or call 01782 491120 to discuss your qualifications.</x:v>
      </x:c>
      <x:c r="K165" s="35" t="str">
        <x:v>https://www.keele.ac.uk/clearing/entry-requirements/</x:v>
      </x:c>
      <x:c r="L165" s="35" t="str">
        <x:v>https://www.keele.ac.uk/study/undergraduate-2026/undergraduatecourses/filmandmediastudies/#foundationyear</x:v>
      </x:c>
      <x:c r="M165" s="33" t="str">
        <x:v>Yes</x:v>
      </x:c>
      <x:c r="N165" s="38" t="n">
        <x:v>46195</x:v>
      </x:c>
      <x:c r="O165" s="35" t="str">
        <x:v>Clearing content team</x:v>
      </x:c>
      <x:c r="P165" s="35" t="str">
        <x:v>Initial import from Clearing vacancies and ER page for 2026.docx</x:v>
      </x:c>
      <x:c r="Q165" s="36" t="str">
        <x:f>IF(A165="","Missing ID",IF(COUNTIF($A$5:$A$1000,A165)&gt;1,"Duplicate ID",IF(C165="","Missing title",IF(D165="","Missing type",IF(E165="","Missing availability",IF(H165="","Missing offer",IF(L165="","Missing course URL",IF(ISERROR(SEARCH("https://www.keele.ac.uk/",L165)),"Non-Keele URL",IF(AND(D165="Foundation year",ISERROR(SEARCH("#foundationyear",L165))),"FY URL missing #foundationyear",IF(M165="","Missing display status",IF(N165="","Missing review date",IF(O165="","Missing owner",IF(P165="","Missing change note","OK")))))))))))))</x:f>
        <x:v>OK</x:v>
      </x:c>
    </x:row>
    <x:row r="166">
      <x:c r="A166" s="33" t="str">
        <x:v>2026-P4JX-UG</x:v>
      </x:c>
      <x:c r="B166" s="37" t="n">
        <x:v>2026</x:v>
      </x:c>
      <x:c r="C166" s="35" t="str">
        <x:v>Film and Music Production</x:v>
      </x:c>
      <x:c r="D166" s="33" t="str">
        <x:v>Undergraduate</x:v>
      </x:c>
      <x:c r="E166" s="33" t="str">
        <x:v>Vacancies</x:v>
      </x:c>
      <x:c r="F166" s="33" t="str">
        <x:v>P4JX</x:v>
      </x:c>
      <x:c r="G166" s="33" t="str">
        <x:v>BA (Hons)</x:v>
      </x:c>
      <x:c r="H166" s="35" t="str">
        <x:v>64 UCAS tariff points</x:v>
      </x:c>
      <x:c r="I166" s="35" t="str">
        <x:v>No</x:v>
      </x:c>
      <x:c r="J166" s="35" t="str">
        <x:v>Most undergraduate courses require GCSE English Language at grade 4/C or equivalent. Some courses also require GCSE Mathematics at grade 4/C or equivalent.</x:v>
      </x:c>
      <x:c r="K166" s="35" t="str">
        <x:v>https://www.keele.ac.uk/clearing/entry-requirements/</x:v>
      </x:c>
      <x:c r="L166" s="35" t="str">
        <x:v>https://www.keele.ac.uk/study/undergraduate-2026/undergraduatecourses/filmandmusicproduction/</x:v>
      </x:c>
      <x:c r="M166" s="33" t="str">
        <x:v>Yes</x:v>
      </x:c>
      <x:c r="N166" s="38" t="n">
        <x:v>46195</x:v>
      </x:c>
      <x:c r="O166" s="35" t="str">
        <x:v>Clearing content team</x:v>
      </x:c>
      <x:c r="P166" s="35" t="str">
        <x:v>Initial import from Clearing vacancies and ER page for 2026.docx</x:v>
      </x:c>
      <x:c r="Q166" s="36" t="str">
        <x:f>IF(A166="","Missing ID",IF(COUNTIF($A$5:$A$1000,A166)&gt;1,"Duplicate ID",IF(C166="","Missing title",IF(D166="","Missing type",IF(E166="","Missing availability",IF(H166="","Missing offer",IF(L166="","Missing course URL",IF(ISERROR(SEARCH("https://www.keele.ac.uk/",L166)),"Non-Keele URL",IF(AND(D166="Foundation year",ISERROR(SEARCH("#foundationyear",L166))),"FY URL missing #foundationyear",IF(M166="","Missing display status",IF(N166="","Missing review date",IF(O166="","Missing owner",IF(P166="","Missing change note","OK")))))))))))))</x:f>
        <x:v>OK</x:v>
      </x:c>
    </x:row>
    <x:row r="167">
      <x:c r="A167" s="33" t="str">
        <x:v>2026-filmandmusicproduction-FY</x:v>
      </x:c>
      <x:c r="B167" s="37" t="n">
        <x:v>2026</x:v>
      </x:c>
      <x:c r="C167" s="35" t="str">
        <x:v>Film and Music Production with Foundation Year</x:v>
      </x:c>
      <x:c r="D167" s="33" t="str">
        <x:v>Foundation year</x:v>
      </x:c>
      <x:c r="E167" s="33" t="str">
        <x:v>Vacancies</x:v>
      </x:c>
      <x:c r="F167" s="33" t="str"/>
      <x:c r="G167" s="33" t="str"/>
      <x:c r="H167" s="35" t="str">
        <x:v>Course-specific</x:v>
      </x:c>
      <x:c r="I167" s="35" t="str">
        <x:v>No</x:v>
      </x:c>
      <x:c r="J167" s="35" t="str">
        <x:v>Foundation Year requirements vary by course. View the full course details or call 01782 491120 to discuss your qualifications.</x:v>
      </x:c>
      <x:c r="K167" s="35" t="str">
        <x:v>https://www.keele.ac.uk/clearing/entry-requirements/</x:v>
      </x:c>
      <x:c r="L167" s="35" t="str">
        <x:v>https://www.keele.ac.uk/study/undergraduate-2026/undergraduatecourses/filmandmusicproduction/#foundationyear</x:v>
      </x:c>
      <x:c r="M167" s="33" t="str">
        <x:v>Yes</x:v>
      </x:c>
      <x:c r="N167" s="38" t="n">
        <x:v>46195</x:v>
      </x:c>
      <x:c r="O167" s="35" t="str">
        <x:v>Clearing content team</x:v>
      </x:c>
      <x:c r="P167" s="35" t="str">
        <x:v>Initial import from Clearing vacancies and ER page for 2026.docx</x:v>
      </x:c>
      <x:c r="Q167" s="36" t="str">
        <x:f>IF(A167="","Missing ID",IF(COUNTIF($A$5:$A$1000,A167)&gt;1,"Duplicate ID",IF(C167="","Missing title",IF(D167="","Missing type",IF(E167="","Missing availability",IF(H167="","Missing offer",IF(L167="","Missing course URL",IF(ISERROR(SEARCH("https://www.keele.ac.uk/",L167)),"Non-Keele URL",IF(AND(D167="Foundation year",ISERROR(SEARCH("#foundationyear",L167))),"FY URL missing #foundationyear",IF(M167="","Missing display status",IF(N167="","Missing review date",IF(O167="","Missing owner",IF(P167="","Missing change note","OK")))))))))))))</x:f>
        <x:v>OK</x:v>
      </x:c>
    </x:row>
    <x:row r="168">
      <x:c r="A168" s="33" t="str">
        <x:v>2026-P303-UG</x:v>
      </x:c>
      <x:c r="B168" s="37" t="n">
        <x:v>2026</x:v>
      </x:c>
      <x:c r="C168" s="35" t="str">
        <x:v>Film Studies</x:v>
      </x:c>
      <x:c r="D168" s="33" t="str">
        <x:v>Undergraduate</x:v>
      </x:c>
      <x:c r="E168" s="33" t="str">
        <x:v>Vacancies</x:v>
      </x:c>
      <x:c r="F168" s="33" t="str">
        <x:v>P303</x:v>
      </x:c>
      <x:c r="G168" s="33" t="str">
        <x:v>BA (Hons)</x:v>
      </x:c>
      <x:c r="H168" s="35" t="str">
        <x:v>64 UCAS tariff points</x:v>
      </x:c>
      <x:c r="I168" s="35" t="str">
        <x:v>No</x:v>
      </x:c>
      <x:c r="J168" s="35" t="str">
        <x:v>Most undergraduate courses require GCSE English Language at grade 4/C or equivalent. Some courses also require GCSE Mathematics at grade 4/C or equivalent.</x:v>
      </x:c>
      <x:c r="K168" s="35" t="str">
        <x:v>https://www.keele.ac.uk/clearing/entry-requirements/</x:v>
      </x:c>
      <x:c r="L168" s="35" t="str">
        <x:v>https://www.keele.ac.uk/study/undergraduate-2026/undergraduatecourses/filmstudies/</x:v>
      </x:c>
      <x:c r="M168" s="33" t="str">
        <x:v>Yes</x:v>
      </x:c>
      <x:c r="N168" s="38" t="n">
        <x:v>46195</x:v>
      </x:c>
      <x:c r="O168" s="35" t="str">
        <x:v>Clearing content team</x:v>
      </x:c>
      <x:c r="P168" s="35" t="str">
        <x:v>Initial import from Clearing vacancies and ER page for 2026.docx</x:v>
      </x:c>
      <x:c r="Q168" s="36" t="str">
        <x:f>IF(A168="","Missing ID",IF(COUNTIF($A$5:$A$1000,A168)&gt;1,"Duplicate ID",IF(C168="","Missing title",IF(D168="","Missing type",IF(E168="","Missing availability",IF(H168="","Missing offer",IF(L168="","Missing course URL",IF(ISERROR(SEARCH("https://www.keele.ac.uk/",L168)),"Non-Keele URL",IF(AND(D168="Foundation year",ISERROR(SEARCH("#foundationyear",L168))),"FY URL missing #foundationyear",IF(M168="","Missing display status",IF(N168="","Missing review date",IF(O168="","Missing owner",IF(P168="","Missing change note","OK")))))))))))))</x:f>
        <x:v>OK</x:v>
      </x:c>
    </x:row>
    <x:row r="169">
      <x:c r="A169" s="33" t="str">
        <x:v>2026-PW38-UG</x:v>
      </x:c>
      <x:c r="B169" s="37" t="n">
        <x:v>2026</x:v>
      </x:c>
      <x:c r="C169" s="35" t="str">
        <x:v>Film Studies and Creative Writing</x:v>
      </x:c>
      <x:c r="D169" s="33" t="str">
        <x:v>Undergraduate</x:v>
      </x:c>
      <x:c r="E169" s="33" t="str">
        <x:v>Vacancies</x:v>
      </x:c>
      <x:c r="F169" s="33" t="str">
        <x:v>PW38</x:v>
      </x:c>
      <x:c r="G169" s="33" t="str">
        <x:v>BA (Hons)</x:v>
      </x:c>
      <x:c r="H169" s="35" t="str">
        <x:v>64 UCAS tariff points</x:v>
      </x:c>
      <x:c r="I169" s="35" t="str">
        <x:v>No</x:v>
      </x:c>
      <x:c r="J169" s="35" t="str">
        <x:v>Most undergraduate courses require GCSE English Language at grade 4/C or equivalent. Some courses also require GCSE Mathematics at grade 4/C or equivalent.</x:v>
      </x:c>
      <x:c r="K169" s="35" t="str">
        <x:v>https://www.keele.ac.uk/clearing/entry-requirements/</x:v>
      </x:c>
      <x:c r="L169" s="35" t="str">
        <x:v>https://www.keele.ac.uk/study/undergraduate-2026/undergraduatecourses/filmstudiesandcreativewriting/</x:v>
      </x:c>
      <x:c r="M169" s="33" t="str">
        <x:v>Yes</x:v>
      </x:c>
      <x:c r="N169" s="38" t="n">
        <x:v>46195</x:v>
      </x:c>
      <x:c r="O169" s="35" t="str">
        <x:v>Clearing content team</x:v>
      </x:c>
      <x:c r="P169" s="35" t="str">
        <x:v>Initial import from Clearing vacancies and ER page for 2026.docx</x:v>
      </x:c>
      <x:c r="Q169" s="36" t="str">
        <x:f>IF(A169="","Missing ID",IF(COUNTIF($A$5:$A$1000,A169)&gt;1,"Duplicate ID",IF(C169="","Missing title",IF(D169="","Missing type",IF(E169="","Missing availability",IF(H169="","Missing offer",IF(L169="","Missing course URL",IF(ISERROR(SEARCH("https://www.keele.ac.uk/",L169)),"Non-Keele URL",IF(AND(D169="Foundation year",ISERROR(SEARCH("#foundationyear",L169))),"FY URL missing #foundationyear",IF(M169="","Missing display status",IF(N169="","Missing review date",IF(O169="","Missing owner",IF(P169="","Missing change note","OK")))))))))))))</x:f>
        <x:v>OK</x:v>
      </x:c>
    </x:row>
    <x:row r="170">
      <x:c r="A170" s="33" t="str">
        <x:v>2026-filmstudiesandcreativewriting-FY</x:v>
      </x:c>
      <x:c r="B170" s="37" t="n">
        <x:v>2026</x:v>
      </x:c>
      <x:c r="C170" s="35" t="str">
        <x:v>Film Studies and Creative Writing with Foundation Year</x:v>
      </x:c>
      <x:c r="D170" s="33" t="str">
        <x:v>Foundation year</x:v>
      </x:c>
      <x:c r="E170" s="33" t="str">
        <x:v>Vacancies</x:v>
      </x:c>
      <x:c r="F170" s="33" t="str"/>
      <x:c r="G170" s="33" t="str"/>
      <x:c r="H170" s="35" t="str">
        <x:v>Course-specific</x:v>
      </x:c>
      <x:c r="I170" s="35" t="str">
        <x:v>No</x:v>
      </x:c>
      <x:c r="J170" s="35" t="str">
        <x:v>Foundation Year requirements vary by course. View the full course details or call 01782 491120 to discuss your qualifications.</x:v>
      </x:c>
      <x:c r="K170" s="35" t="str">
        <x:v>https://www.keele.ac.uk/clearing/entry-requirements/</x:v>
      </x:c>
      <x:c r="L170" s="35" t="str">
        <x:v>https://www.keele.ac.uk/study/undergraduate-2026/undergraduatecourses/filmstudiesandcreativewriting/#foundationyear</x:v>
      </x:c>
      <x:c r="M170" s="33" t="str">
        <x:v>Yes</x:v>
      </x:c>
      <x:c r="N170" s="38" t="n">
        <x:v>46195</x:v>
      </x:c>
      <x:c r="O170" s="35" t="str">
        <x:v>Clearing content team</x:v>
      </x:c>
      <x:c r="P170" s="35" t="str">
        <x:v>Initial import from Clearing vacancies and ER page for 2026.docx</x:v>
      </x:c>
      <x:c r="Q170" s="36" t="str">
        <x:f>IF(A170="","Missing ID",IF(COUNTIF($A$5:$A$1000,A170)&gt;1,"Duplicate ID",IF(C170="","Missing title",IF(D170="","Missing type",IF(E170="","Missing availability",IF(H170="","Missing offer",IF(L170="","Missing course URL",IF(ISERROR(SEARCH("https://www.keele.ac.uk/",L170)),"Non-Keele URL",IF(AND(D170="Foundation year",ISERROR(SEARCH("#foundationyear",L170))),"FY URL missing #foundationyear",IF(M170="","Missing display status",IF(N170="","Missing review date",IF(O170="","Missing owner",IF(P170="","Missing change note","OK")))))))))))))</x:f>
        <x:v>OK</x:v>
      </x:c>
    </x:row>
    <x:row r="171">
      <x:c r="A171" s="33" t="str">
        <x:v>2026-filmstudies-FY</x:v>
      </x:c>
      <x:c r="B171" s="37" t="n">
        <x:v>2026</x:v>
      </x:c>
      <x:c r="C171" s="35" t="str">
        <x:v>Film Studies with Foundation Year</x:v>
      </x:c>
      <x:c r="D171" s="33" t="str">
        <x:v>Foundation year</x:v>
      </x:c>
      <x:c r="E171" s="33" t="str">
        <x:v>Vacancies</x:v>
      </x:c>
      <x:c r="F171" s="33" t="str"/>
      <x:c r="G171" s="33" t="str"/>
      <x:c r="H171" s="35" t="str">
        <x:v>Course-specific</x:v>
      </x:c>
      <x:c r="I171" s="35" t="str">
        <x:v>No</x:v>
      </x:c>
      <x:c r="J171" s="35" t="str">
        <x:v>Foundation Year requirements vary by course. View the full course details or call 01782 491120 to discuss your qualifications.</x:v>
      </x:c>
      <x:c r="K171" s="35" t="str">
        <x:v>https://www.keele.ac.uk/clearing/entry-requirements/</x:v>
      </x:c>
      <x:c r="L171" s="35" t="str">
        <x:v>https://www.keele.ac.uk/study/undergraduate-2026/undergraduatecourses/filmstudies/#foundationyear</x:v>
      </x:c>
      <x:c r="M171" s="33" t="str">
        <x:v>Yes</x:v>
      </x:c>
      <x:c r="N171" s="38" t="n">
        <x:v>46195</x:v>
      </x:c>
      <x:c r="O171" s="35" t="str">
        <x:v>Clearing content team</x:v>
      </x:c>
      <x:c r="P171" s="35" t="str">
        <x:v>Initial import from Clearing vacancies and ER page for 2026.docx</x:v>
      </x:c>
      <x:c r="Q171" s="36" t="str">
        <x:f>IF(A171="","Missing ID",IF(COUNTIF($A$5:$A$1000,A171)&gt;1,"Duplicate ID",IF(C171="","Missing title",IF(D171="","Missing type",IF(E171="","Missing availability",IF(H171="","Missing offer",IF(L171="","Missing course URL",IF(ISERROR(SEARCH("https://www.keele.ac.uk/",L171)),"Non-Keele URL",IF(AND(D171="Foundation year",ISERROR(SEARCH("#foundationyear",L171))),"FY URL missing #foundationyear",IF(M171="","Missing display status",IF(N171="","Missing review date",IF(O171="","Missing owner",IF(P171="","Missing change note","OK")))))))))))))</x:f>
        <x:v>OK</x:v>
      </x:c>
    </x:row>
    <x:row r="172">
      <x:c r="A172" s="33" t="str">
        <x:v>2026-N310-UG</x:v>
      </x:c>
      <x:c r="B172" s="37" t="n">
        <x:v>2026</x:v>
      </x:c>
      <x:c r="C172" s="35" t="str">
        <x:v>Finance and Management | Top-up</x:v>
      </x:c>
      <x:c r="D172" s="33" t="str">
        <x:v>Undergraduate</x:v>
      </x:c>
      <x:c r="E172" s="33" t="str">
        <x:v>Vacancies</x:v>
      </x:c>
      <x:c r="F172" s="33" t="str">
        <x:v>N310</x:v>
      </x:c>
      <x:c r="G172" s="33" t="str">
        <x:v>BSc (Hons)</x:v>
      </x:c>
      <x:c r="H172" s="35" t="str">
        <x:v>Pass HND</x:v>
      </x:c>
      <x:c r="I172" s="35" t="str">
        <x:v>Yes</x:v>
      </x:c>
      <x:c r="J172" s="35" t="str">
        <x:v>This course has additional subject-specific requirements. View the full course details or contact Admissions before applying.</x:v>
      </x:c>
      <x:c r="K172" s="35" t="str">
        <x:v>https://www.keele.ac.uk/clearing/entry-requirements/</x:v>
      </x:c>
      <x:c r="L172" s="35" t="str">
        <x:v>https://www.keele.ac.uk/study/undergraduate-2026/undergraduatecourses/financeandmanagementtop-up/</x:v>
      </x:c>
      <x:c r="M172" s="33" t="str">
        <x:v>Yes</x:v>
      </x:c>
      <x:c r="N172" s="38" t="n">
        <x:v>46195</x:v>
      </x:c>
      <x:c r="O172" s="35" t="str">
        <x:v>Clearing content team</x:v>
      </x:c>
      <x:c r="P172" s="35" t="str">
        <x:v>Initial import from Clearing vacancies and ER page for 2026.docx</x:v>
      </x:c>
      <x:c r="Q172" s="36" t="str">
        <x:f>IF(A172="","Missing ID",IF(COUNTIF($A$5:$A$1000,A172)&gt;1,"Duplicate ID",IF(C172="","Missing title",IF(D172="","Missing type",IF(E172="","Missing availability",IF(H172="","Missing offer",IF(L172="","Missing course URL",IF(ISERROR(SEARCH("https://www.keele.ac.uk/",L172)),"Non-Keele URL",IF(AND(D172="Foundation year",ISERROR(SEARCH("#foundationyear",L172))),"FY URL missing #foundationyear",IF(M172="","Missing display status",IF(N172="","Missing review date",IF(O172="","Missing owner",IF(P172="","Missing change note","OK")))))))))))))</x:f>
        <x:v>OK</x:v>
      </x:c>
    </x:row>
    <x:row r="173">
      <x:c r="A173" s="33" t="str">
        <x:v>2026-FC14-UG</x:v>
      </x:c>
      <x:c r="B173" s="37" t="n">
        <x:v>2026</x:v>
      </x:c>
      <x:c r="C173" s="35" t="str">
        <x:v>Forensic Biology</x:v>
      </x:c>
      <x:c r="D173" s="33" t="str">
        <x:v>Undergraduate</x:v>
      </x:c>
      <x:c r="E173" s="33" t="str">
        <x:v>Vacancies</x:v>
      </x:c>
      <x:c r="F173" s="33" t="str">
        <x:v>FC14</x:v>
      </x:c>
      <x:c r="G173" s="33" t="str">
        <x:v>BSc (Hons)</x:v>
      </x:c>
      <x:c r="H173" s="35" t="str">
        <x:v>64 UCAS tariff points</x:v>
      </x:c>
      <x:c r="I173" s="35" t="str">
        <x:v>Yes</x:v>
      </x:c>
      <x:c r="J173" s="35" t="str">
        <x:v>This course has additional subject-specific requirements. View the full course details or contact Admissions before applying.</x:v>
      </x:c>
      <x:c r="K173" s="35" t="str">
        <x:v>https://www.keele.ac.uk/clearing/entry-requirements/</x:v>
      </x:c>
      <x:c r="L173" s="35" t="str">
        <x:v>https://www.keele.ac.uk/study/undergraduate-2026/undergraduatecourses/forensicbiology/</x:v>
      </x:c>
      <x:c r="M173" s="33" t="str">
        <x:v>Yes</x:v>
      </x:c>
      <x:c r="N173" s="38" t="n">
        <x:v>46195</x:v>
      </x:c>
      <x:c r="O173" s="35" t="str">
        <x:v>Clearing content team</x:v>
      </x:c>
      <x:c r="P173" s="35" t="str">
        <x:v>Initial import from Clearing vacancies and ER page for 2026.docx</x:v>
      </x:c>
      <x:c r="Q173" s="36" t="str">
        <x:f>IF(A173="","Missing ID",IF(COUNTIF($A$5:$A$1000,A173)&gt;1,"Duplicate ID",IF(C173="","Missing title",IF(D173="","Missing type",IF(E173="","Missing availability",IF(H173="","Missing offer",IF(L173="","Missing course URL",IF(ISERROR(SEARCH("https://www.keele.ac.uk/",L173)),"Non-Keele URL",IF(AND(D173="Foundation year",ISERROR(SEARCH("#foundationyear",L173))),"FY URL missing #foundationyear",IF(M173="","Missing display status",IF(N173="","Missing review date",IF(O173="","Missing owner",IF(P173="","Missing change note","OK")))))))))))))</x:f>
        <x:v>OK</x:v>
      </x:c>
    </x:row>
    <x:row r="174">
      <x:c r="A174" s="33" t="str">
        <x:v>2026-forensicbiology-FY</x:v>
      </x:c>
      <x:c r="B174" s="37" t="n">
        <x:v>2026</x:v>
      </x:c>
      <x:c r="C174" s="35" t="str">
        <x:v>Forensic Biology with Foundation Year</x:v>
      </x:c>
      <x:c r="D174" s="33" t="str">
        <x:v>Foundation year</x:v>
      </x:c>
      <x:c r="E174" s="33" t="str">
        <x:v>Vacancies</x:v>
      </x:c>
      <x:c r="F174" s="33" t="str"/>
      <x:c r="G174" s="33" t="str"/>
      <x:c r="H174" s="35" t="str">
        <x:v>Course-specific</x:v>
      </x:c>
      <x:c r="I174" s="35" t="str">
        <x:v>No</x:v>
      </x:c>
      <x:c r="J174" s="35" t="str">
        <x:v>Foundation Year requirements vary by course. View the full course details or call 01782 491120 to discuss your qualifications.</x:v>
      </x:c>
      <x:c r="K174" s="35" t="str">
        <x:v>https://www.keele.ac.uk/clearing/entry-requirements/</x:v>
      </x:c>
      <x:c r="L174" s="35" t="str">
        <x:v>https://www.keele.ac.uk/study/undergraduate-2026/undergraduatecourses/forensicbiology/#foundationyear</x:v>
      </x:c>
      <x:c r="M174" s="33" t="str">
        <x:v>Yes</x:v>
      </x:c>
      <x:c r="N174" s="38" t="n">
        <x:v>46195</x:v>
      </x:c>
      <x:c r="O174" s="35" t="str">
        <x:v>Clearing content team</x:v>
      </x:c>
      <x:c r="P174" s="35" t="str">
        <x:v>Initial import from Clearing vacancies and ER page for 2026.docx</x:v>
      </x:c>
      <x:c r="Q174" s="36" t="str">
        <x:f>IF(A174="","Missing ID",IF(COUNTIF($A$5:$A$1000,A174)&gt;1,"Duplicate ID",IF(C174="","Missing title",IF(D174="","Missing type",IF(E174="","Missing availability",IF(H174="","Missing offer",IF(L174="","Missing course URL",IF(ISERROR(SEARCH("https://www.keele.ac.uk/",L174)),"Non-Keele URL",IF(AND(D174="Foundation year",ISERROR(SEARCH("#foundationyear",L174))),"FY URL missing #foundationyear",IF(M174="","Missing display status",IF(N174="","Missing review date",IF(O174="","Missing owner",IF(P174="","Missing change note","OK")))))))))))))</x:f>
        <x:v>OK</x:v>
      </x:c>
    </x:row>
    <x:row r="175">
      <x:c r="A175" s="33" t="str">
        <x:v>2026-FC16-UG</x:v>
      </x:c>
      <x:c r="B175" s="37" t="n">
        <x:v>2026</x:v>
      </x:c>
      <x:c r="C175" s="35" t="str">
        <x:v>Forensic Biology with Integrated Master's</x:v>
      </x:c>
      <x:c r="D175" s="33" t="str">
        <x:v>Undergraduate</x:v>
      </x:c>
      <x:c r="E175" s="33" t="str">
        <x:v>Vacancies</x:v>
      </x:c>
      <x:c r="F175" s="33" t="str">
        <x:v>FC16</x:v>
      </x:c>
      <x:c r="G175" s="33" t="str">
        <x:v>MSci</x:v>
      </x:c>
      <x:c r="H175" s="35" t="str">
        <x:v>64 UCAS tariff points</x:v>
      </x:c>
      <x:c r="I175" s="35" t="str">
        <x:v>Yes</x:v>
      </x:c>
      <x:c r="J175" s="35" t="str">
        <x:v>This course has additional subject-specific requirements. View the full course details or contact Admissions before applying.</x:v>
      </x:c>
      <x:c r="K175" s="35" t="str">
        <x:v>https://www.keele.ac.uk/clearing/entry-requirements/</x:v>
      </x:c>
      <x:c r="L175" s="35" t="str">
        <x:v>https://www.keele.ac.uk/study/undergraduate-2026/undergraduatecourses/forensicbiologywithintegratedmasters/</x:v>
      </x:c>
      <x:c r="M175" s="33" t="str">
        <x:v>Yes</x:v>
      </x:c>
      <x:c r="N175" s="38" t="n">
        <x:v>46195</x:v>
      </x:c>
      <x:c r="O175" s="35" t="str">
        <x:v>Clearing content team</x:v>
      </x:c>
      <x:c r="P175" s="35" t="str">
        <x:v>Initial import from Clearing vacancies and ER page for 2026.docx</x:v>
      </x:c>
      <x:c r="Q175" s="36" t="str">
        <x:f>IF(A175="","Missing ID",IF(COUNTIF($A$5:$A$1000,A175)&gt;1,"Duplicate ID",IF(C175="","Missing title",IF(D175="","Missing type",IF(E175="","Missing availability",IF(H175="","Missing offer",IF(L175="","Missing course URL",IF(ISERROR(SEARCH("https://www.keele.ac.uk/",L175)),"Non-Keele URL",IF(AND(D175="Foundation year",ISERROR(SEARCH("#foundationyear",L175))),"FY URL missing #foundationyear",IF(M175="","Missing display status",IF(N175="","Missing review date",IF(O175="","Missing owner",IF(P175="","Missing change note","OK")))))))))))))</x:f>
        <x:v>OK</x:v>
      </x:c>
    </x:row>
    <x:row r="176">
      <x:c r="A176" s="33" t="str">
        <x:v>2026-forensicbiologywithintegratedmasters-FY</x:v>
      </x:c>
      <x:c r="B176" s="37" t="n">
        <x:v>2026</x:v>
      </x:c>
      <x:c r="C176" s="35" t="str">
        <x:v>Forensic Biology with Integrated Master's with Foundation Year</x:v>
      </x:c>
      <x:c r="D176" s="33" t="str">
        <x:v>Foundation year</x:v>
      </x:c>
      <x:c r="E176" s="33" t="str">
        <x:v>Vacancies</x:v>
      </x:c>
      <x:c r="F176" s="33" t="str"/>
      <x:c r="G176" s="33" t="str"/>
      <x:c r="H176" s="35" t="str">
        <x:v>Course-specific</x:v>
      </x:c>
      <x:c r="I176" s="35" t="str">
        <x:v>No</x:v>
      </x:c>
      <x:c r="J176" s="35" t="str">
        <x:v>Foundation Year requirements vary by course. View the full course details or call 01782 491120 to discuss your qualifications.</x:v>
      </x:c>
      <x:c r="K176" s="35" t="str">
        <x:v>https://www.keele.ac.uk/clearing/entry-requirements/</x:v>
      </x:c>
      <x:c r="L176" s="35" t="str">
        <x:v>https://www.keele.ac.uk/study/undergraduate-2026/undergraduatecourses/forensicbiologywithintegratedmasters/#foundationyear</x:v>
      </x:c>
      <x:c r="M176" s="33" t="str">
        <x:v>Yes</x:v>
      </x:c>
      <x:c r="N176" s="38" t="n">
        <x:v>46195</x:v>
      </x:c>
      <x:c r="O176" s="35" t="str">
        <x:v>Clearing content team</x:v>
      </x:c>
      <x:c r="P176" s="35" t="str">
        <x:v>Initial import from Clearing vacancies and ER page for 2026.docx</x:v>
      </x:c>
      <x:c r="Q176" s="36" t="str">
        <x:f>IF(A176="","Missing ID",IF(COUNTIF($A$5:$A$1000,A176)&gt;1,"Duplicate ID",IF(C176="","Missing title",IF(D176="","Missing type",IF(E176="","Missing availability",IF(H176="","Missing offer",IF(L176="","Missing course URL",IF(ISERROR(SEARCH("https://www.keele.ac.uk/",L176)),"Non-Keele URL",IF(AND(D176="Foundation year",ISERROR(SEARCH("#foundationyear",L176))),"FY URL missing #foundationyear",IF(M176="","Missing display status",IF(N176="","Missing review date",IF(O176="","Missing owner",IF(P176="","Missing change note","OK")))))))))))))</x:f>
        <x:v>OK</x:v>
      </x:c>
    </x:row>
    <x:row r="177">
      <x:c r="A177" s="33" t="str">
        <x:v>2026-F1F4-UG</x:v>
      </x:c>
      <x:c r="B177" s="37" t="n">
        <x:v>2026</x:v>
      </x:c>
      <x:c r="C177" s="35" t="str">
        <x:v>Forensic Chemistry</x:v>
      </x:c>
      <x:c r="D177" s="33" t="str">
        <x:v>Undergraduate</x:v>
      </x:c>
      <x:c r="E177" s="33" t="str">
        <x:v>Vacancies</x:v>
      </x:c>
      <x:c r="F177" s="33" t="str">
        <x:v>F1F4</x:v>
      </x:c>
      <x:c r="G177" s="33" t="str">
        <x:v>BSc (Hons)</x:v>
      </x:c>
      <x:c r="H177" s="35" t="str">
        <x:v>64 UCAS tariff points</x:v>
      </x:c>
      <x:c r="I177" s="35" t="str">
        <x:v>Yes</x:v>
      </x:c>
      <x:c r="J177" s="35" t="str">
        <x:v>This course has additional subject-specific requirements. View the full course details or contact Admissions before applying.</x:v>
      </x:c>
      <x:c r="K177" s="35" t="str">
        <x:v>https://www.keele.ac.uk/clearing/entry-requirements/</x:v>
      </x:c>
      <x:c r="L177" s="35" t="str">
        <x:v>https://www.keele.ac.uk/study/undergraduate-2026/undergraduatecourses/forensicchemistry/</x:v>
      </x:c>
      <x:c r="M177" s="33" t="str">
        <x:v>Yes</x:v>
      </x:c>
      <x:c r="N177" s="38" t="n">
        <x:v>46195</x:v>
      </x:c>
      <x:c r="O177" s="35" t="str">
        <x:v>Clearing content team</x:v>
      </x:c>
      <x:c r="P177" s="35" t="str">
        <x:v>Initial import from Clearing vacancies and ER page for 2026.docx</x:v>
      </x:c>
      <x:c r="Q177" s="36" t="str">
        <x:f>IF(A177="","Missing ID",IF(COUNTIF($A$5:$A$1000,A177)&gt;1,"Duplicate ID",IF(C177="","Missing title",IF(D177="","Missing type",IF(E177="","Missing availability",IF(H177="","Missing offer",IF(L177="","Missing course URL",IF(ISERROR(SEARCH("https://www.keele.ac.uk/",L177)),"Non-Keele URL",IF(AND(D177="Foundation year",ISERROR(SEARCH("#foundationyear",L177))),"FY URL missing #foundationyear",IF(M177="","Missing display status",IF(N177="","Missing review date",IF(O177="","Missing owner",IF(P177="","Missing change note","OK")))))))))))))</x:f>
        <x:v>OK</x:v>
      </x:c>
    </x:row>
    <x:row r="178">
      <x:c r="A178" s="33" t="str">
        <x:v>2026-forensicchemistry-FY</x:v>
      </x:c>
      <x:c r="B178" s="37" t="n">
        <x:v>2026</x:v>
      </x:c>
      <x:c r="C178" s="35" t="str">
        <x:v>Forensic Chemistry with Foundation Year</x:v>
      </x:c>
      <x:c r="D178" s="33" t="str">
        <x:v>Foundation year</x:v>
      </x:c>
      <x:c r="E178" s="33" t="str">
        <x:v>Vacancies</x:v>
      </x:c>
      <x:c r="F178" s="33" t="str"/>
      <x:c r="G178" s="33" t="str"/>
      <x:c r="H178" s="35" t="str">
        <x:v>Course-specific</x:v>
      </x:c>
      <x:c r="I178" s="35" t="str">
        <x:v>No</x:v>
      </x:c>
      <x:c r="J178" s="35" t="str">
        <x:v>Foundation Year requirements vary by course. View the full course details or call 01782 491120 to discuss your qualifications.</x:v>
      </x:c>
      <x:c r="K178" s="35" t="str">
        <x:v>https://www.keele.ac.uk/clearing/entry-requirements/</x:v>
      </x:c>
      <x:c r="L178" s="35" t="str">
        <x:v>https://www.keele.ac.uk/study/undergraduate-2026/undergraduatecourses/forensicchemistry/#foundationyear</x:v>
      </x:c>
      <x:c r="M178" s="33" t="str">
        <x:v>Yes</x:v>
      </x:c>
      <x:c r="N178" s="38" t="n">
        <x:v>46195</x:v>
      </x:c>
      <x:c r="O178" s="35" t="str">
        <x:v>Clearing content team</x:v>
      </x:c>
      <x:c r="P178" s="35" t="str">
        <x:v>Initial import from Clearing vacancies and ER page for 2026.docx</x:v>
      </x:c>
      <x:c r="Q178" s="36" t="str">
        <x:f>IF(A178="","Missing ID",IF(COUNTIF($A$5:$A$1000,A178)&gt;1,"Duplicate ID",IF(C178="","Missing title",IF(D178="","Missing type",IF(E178="","Missing availability",IF(H178="","Missing offer",IF(L178="","Missing course URL",IF(ISERROR(SEARCH("https://www.keele.ac.uk/",L178)),"Non-Keele URL",IF(AND(D178="Foundation year",ISERROR(SEARCH("#foundationyear",L178))),"FY URL missing #foundationyear",IF(M178="","Missing display status",IF(N178="","Missing review date",IF(O178="","Missing owner",IF(P178="","Missing change note","OK")))))))))))))</x:f>
        <x:v>OK</x:v>
      </x:c>
    </x:row>
    <x:row r="179">
      <x:c r="A179" s="33" t="str">
        <x:v>2026-F1F6-UG</x:v>
      </x:c>
      <x:c r="B179" s="37" t="n">
        <x:v>2026</x:v>
      </x:c>
      <x:c r="C179" s="35" t="str">
        <x:v>Forensic Chemistry with Integrated Master's</x:v>
      </x:c>
      <x:c r="D179" s="33" t="str">
        <x:v>Undergraduate</x:v>
      </x:c>
      <x:c r="E179" s="33" t="str">
        <x:v>Vacancies</x:v>
      </x:c>
      <x:c r="F179" s="33" t="str">
        <x:v>F1F6</x:v>
      </x:c>
      <x:c r="G179" s="33" t="str">
        <x:v>MChem</x:v>
      </x:c>
      <x:c r="H179" s="35" t="str">
        <x:v>64 UCAS tariff points</x:v>
      </x:c>
      <x:c r="I179" s="35" t="str">
        <x:v>Yes</x:v>
      </x:c>
      <x:c r="J179" s="35" t="str">
        <x:v>This course has additional subject-specific requirements. View the full course details or contact Admissions before applying.</x:v>
      </x:c>
      <x:c r="K179" s="35" t="str">
        <x:v>https://www.keele.ac.uk/clearing/entry-requirements/</x:v>
      </x:c>
      <x:c r="L179" s="35" t="str">
        <x:v>https://www.keele.ac.uk/study/undergraduate-2026/undergraduatecourses/forensicchemistrywithintegratedmasters/</x:v>
      </x:c>
      <x:c r="M179" s="33" t="str">
        <x:v>Yes</x:v>
      </x:c>
      <x:c r="N179" s="38" t="n">
        <x:v>46195</x:v>
      </x:c>
      <x:c r="O179" s="35" t="str">
        <x:v>Clearing content team</x:v>
      </x:c>
      <x:c r="P179" s="35" t="str">
        <x:v>Initial import from Clearing vacancies and ER page for 2026.docx</x:v>
      </x:c>
      <x:c r="Q179" s="36" t="str">
        <x:f>IF(A179="","Missing ID",IF(COUNTIF($A$5:$A$1000,A179)&gt;1,"Duplicate ID",IF(C179="","Missing title",IF(D179="","Missing type",IF(E179="","Missing availability",IF(H179="","Missing offer",IF(L179="","Missing course URL",IF(ISERROR(SEARCH("https://www.keele.ac.uk/",L179)),"Non-Keele URL",IF(AND(D179="Foundation year",ISERROR(SEARCH("#foundationyear",L179))),"FY URL missing #foundationyear",IF(M179="","Missing display status",IF(N179="","Missing review date",IF(O179="","Missing owner",IF(P179="","Missing change note","OK")))))))))))))</x:f>
        <x:v>OK</x:v>
      </x:c>
    </x:row>
    <x:row r="180">
      <x:c r="A180" s="33" t="str">
        <x:v>2026-forensicchemistrywithintegratedmasters-FY</x:v>
      </x:c>
      <x:c r="B180" s="37" t="n">
        <x:v>2026</x:v>
      </x:c>
      <x:c r="C180" s="35" t="str">
        <x:v>Forensic Chemistry with Integrated Master's with Foundation Year</x:v>
      </x:c>
      <x:c r="D180" s="33" t="str">
        <x:v>Foundation year</x:v>
      </x:c>
      <x:c r="E180" s="33" t="str">
        <x:v>Vacancies</x:v>
      </x:c>
      <x:c r="F180" s="33" t="str"/>
      <x:c r="G180" s="33" t="str"/>
      <x:c r="H180" s="35" t="str">
        <x:v>Course-specific</x:v>
      </x:c>
      <x:c r="I180" s="35" t="str">
        <x:v>No</x:v>
      </x:c>
      <x:c r="J180" s="35" t="str">
        <x:v>Foundation Year requirements vary by course. View the full course details or call 01782 491120 to discuss your qualifications.</x:v>
      </x:c>
      <x:c r="K180" s="35" t="str">
        <x:v>https://www.keele.ac.uk/clearing/entry-requirements/</x:v>
      </x:c>
      <x:c r="L180" s="35" t="str">
        <x:v>https://www.keele.ac.uk/study/undergraduate-2026/undergraduatecourses/forensicchemistrywithintegratedmasters/#foundationyear</x:v>
      </x:c>
      <x:c r="M180" s="33" t="str">
        <x:v>Yes</x:v>
      </x:c>
      <x:c r="N180" s="38" t="n">
        <x:v>46195</x:v>
      </x:c>
      <x:c r="O180" s="35" t="str">
        <x:v>Clearing content team</x:v>
      </x:c>
      <x:c r="P180" s="35" t="str">
        <x:v>Initial import from Clearing vacancies and ER page for 2026.docx</x:v>
      </x:c>
      <x:c r="Q180" s="36" t="str">
        <x:f>IF(A180="","Missing ID",IF(COUNTIF($A$5:$A$1000,A180)&gt;1,"Duplicate ID",IF(C180="","Missing title",IF(D180="","Missing type",IF(E180="","Missing availability",IF(H180="","Missing offer",IF(L180="","Missing course URL",IF(ISERROR(SEARCH("https://www.keele.ac.uk/",L180)),"Non-Keele URL",IF(AND(D180="Foundation year",ISERROR(SEARCH("#foundationyear",L180))),"FY URL missing #foundationyear",IF(M180="","Missing display status",IF(N180="","Missing review date",IF(O180="","Missing owner",IF(P180="","Missing change note","OK")))))))))))))</x:f>
        <x:v>OK</x:v>
      </x:c>
    </x:row>
    <x:row r="181">
      <x:c r="A181" s="33" t="str">
        <x:v>2026-C8B1-UG</x:v>
      </x:c>
      <x:c r="B181" s="37" t="n">
        <x:v>2026</x:v>
      </x:c>
      <x:c r="C181" s="35" t="str">
        <x:v>Forensic Psychology</x:v>
      </x:c>
      <x:c r="D181" s="33" t="str">
        <x:v>Undergraduate</x:v>
      </x:c>
      <x:c r="E181" s="33" t="str">
        <x:v>Vacancies</x:v>
      </x:c>
      <x:c r="F181" s="33" t="str">
        <x:v>C8B1</x:v>
      </x:c>
      <x:c r="G181" s="33" t="str">
        <x:v>BSc (Hons)</x:v>
      </x:c>
      <x:c r="H181" s="35" t="str">
        <x:v>64 UCAS tariff points</x:v>
      </x:c>
      <x:c r="I181" s="35" t="str">
        <x:v>No</x:v>
      </x:c>
      <x:c r="J181" s="35" t="str">
        <x:v>Most undergraduate courses require GCSE English Language at grade 4/C or equivalent. Some courses also require GCSE Mathematics at grade 4/C or equivalent.</x:v>
      </x:c>
      <x:c r="K181" s="35" t="str">
        <x:v>https://www.keele.ac.uk/clearing/entry-requirements/</x:v>
      </x:c>
      <x:c r="L181" s="35" t="str">
        <x:v>https://www.keele.ac.uk/study/undergraduate-2026/undergraduatecourses/forensicpsychology/</x:v>
      </x:c>
      <x:c r="M181" s="33" t="str">
        <x:v>Yes</x:v>
      </x:c>
      <x:c r="N181" s="38" t="n">
        <x:v>46195</x:v>
      </x:c>
      <x:c r="O181" s="35" t="str">
        <x:v>Clearing content team</x:v>
      </x:c>
      <x:c r="P181" s="35" t="str">
        <x:v>Initial import from Clearing vacancies and ER page for 2026.docx</x:v>
      </x:c>
      <x:c r="Q181" s="36" t="str">
        <x:f>IF(A181="","Missing ID",IF(COUNTIF($A$5:$A$1000,A181)&gt;1,"Duplicate ID",IF(C181="","Missing title",IF(D181="","Missing type",IF(E181="","Missing availability",IF(H181="","Missing offer",IF(L181="","Missing course URL",IF(ISERROR(SEARCH("https://www.keele.ac.uk/",L181)),"Non-Keele URL",IF(AND(D181="Foundation year",ISERROR(SEARCH("#foundationyear",L181))),"FY URL missing #foundationyear",IF(M181="","Missing display status",IF(N181="","Missing review date",IF(O181="","Missing owner",IF(P181="","Missing change note","OK")))))))))))))</x:f>
        <x:v>OK</x:v>
      </x:c>
    </x:row>
    <x:row r="182">
      <x:c r="A182" s="33" t="str">
        <x:v>2026-forensicpsychology-FY</x:v>
      </x:c>
      <x:c r="B182" s="37" t="n">
        <x:v>2026</x:v>
      </x:c>
      <x:c r="C182" s="35" t="str">
        <x:v>Forensic Psychology with Foundation Year</x:v>
      </x:c>
      <x:c r="D182" s="33" t="str">
        <x:v>Foundation year</x:v>
      </x:c>
      <x:c r="E182" s="33" t="str">
        <x:v>Vacancies</x:v>
      </x:c>
      <x:c r="F182" s="33" t="str"/>
      <x:c r="G182" s="33" t="str"/>
      <x:c r="H182" s="35" t="str">
        <x:v>Course-specific</x:v>
      </x:c>
      <x:c r="I182" s="35" t="str">
        <x:v>No</x:v>
      </x:c>
      <x:c r="J182" s="35" t="str">
        <x:v>Foundation Year requirements vary by course. View the full course details or call 01782 491120 to discuss your qualifications.</x:v>
      </x:c>
      <x:c r="K182" s="35" t="str">
        <x:v>https://www.keele.ac.uk/clearing/entry-requirements/</x:v>
      </x:c>
      <x:c r="L182" s="35" t="str">
        <x:v>https://www.keele.ac.uk/study/undergraduate-2026/undergraduatecourses/forensicpsychology/#foundationyear</x:v>
      </x:c>
      <x:c r="M182" s="33" t="str">
        <x:v>Yes</x:v>
      </x:c>
      <x:c r="N182" s="38" t="n">
        <x:v>46195</x:v>
      </x:c>
      <x:c r="O182" s="35" t="str">
        <x:v>Clearing content team</x:v>
      </x:c>
      <x:c r="P182" s="35" t="str">
        <x:v>Initial import from Clearing vacancies and ER page for 2026.docx</x:v>
      </x:c>
      <x:c r="Q182" s="36" t="str">
        <x:f>IF(A182="","Missing ID",IF(COUNTIF($A$5:$A$1000,A182)&gt;1,"Duplicate ID",IF(C182="","Missing title",IF(D182="","Missing type",IF(E182="","Missing availability",IF(H182="","Missing offer",IF(L182="","Missing course URL",IF(ISERROR(SEARCH("https://www.keele.ac.uk/",L182)),"Non-Keele URL",IF(AND(D182="Foundation year",ISERROR(SEARCH("#foundationyear",L182))),"FY URL missing #foundationyear",IF(M182="","Missing display status",IF(N182="","Missing review date",IF(O182="","Missing owner",IF(P182="","Missing change note","OK")))))))))))))</x:f>
        <x:v>OK</x:v>
      </x:c>
    </x:row>
    <x:row r="183">
      <x:c r="A183" s="33" t="str">
        <x:v>2026-F415-UG</x:v>
      </x:c>
      <x:c r="B183" s="37" t="n">
        <x:v>2026</x:v>
      </x:c>
      <x:c r="C183" s="35" t="str">
        <x:v>Forensic Science</x:v>
      </x:c>
      <x:c r="D183" s="33" t="str">
        <x:v>Undergraduate</x:v>
      </x:c>
      <x:c r="E183" s="33" t="str">
        <x:v>Vacancies</x:v>
      </x:c>
      <x:c r="F183" s="33" t="str">
        <x:v>F415</x:v>
      </x:c>
      <x:c r="G183" s="33" t="str">
        <x:v>BSc (Hons)</x:v>
      </x:c>
      <x:c r="H183" s="35" t="str">
        <x:v>64 UCAS tariff points</x:v>
      </x:c>
      <x:c r="I183" s="35" t="str">
        <x:v>Yes</x:v>
      </x:c>
      <x:c r="J183" s="35" t="str">
        <x:v>This course has additional subject-specific requirements. View the full course details or contact Admissions before applying.</x:v>
      </x:c>
      <x:c r="K183" s="35" t="str">
        <x:v>https://www.keele.ac.uk/clearing/entry-requirements/</x:v>
      </x:c>
      <x:c r="L183" s="35" t="str">
        <x:v>https://www.keele.ac.uk/study/undergraduate-2026/undergraduatecourses/forensicscience/</x:v>
      </x:c>
      <x:c r="M183" s="33" t="str">
        <x:v>Yes</x:v>
      </x:c>
      <x:c r="N183" s="38" t="n">
        <x:v>46195</x:v>
      </x:c>
      <x:c r="O183" s="35" t="str">
        <x:v>Clearing content team</x:v>
      </x:c>
      <x:c r="P183" s="35" t="str">
        <x:v>Initial import from Clearing vacancies and ER page for 2026.docx</x:v>
      </x:c>
      <x:c r="Q183" s="36" t="str">
        <x:f>IF(A183="","Missing ID",IF(COUNTIF($A$5:$A$1000,A183)&gt;1,"Duplicate ID",IF(C183="","Missing title",IF(D183="","Missing type",IF(E183="","Missing availability",IF(H183="","Missing offer",IF(L183="","Missing course URL",IF(ISERROR(SEARCH("https://www.keele.ac.uk/",L183)),"Non-Keele URL",IF(AND(D183="Foundation year",ISERROR(SEARCH("#foundationyear",L183))),"FY URL missing #foundationyear",IF(M183="","Missing display status",IF(N183="","Missing review date",IF(O183="","Missing owner",IF(P183="","Missing change note","OK")))))))))))))</x:f>
        <x:v>OK</x:v>
      </x:c>
    </x:row>
    <x:row r="184">
      <x:c r="A184" s="33" t="str">
        <x:v>2026-F4L6-UG</x:v>
      </x:c>
      <x:c r="B184" s="37" t="n">
        <x:v>2026</x:v>
      </x:c>
      <x:c r="C184" s="35" t="str">
        <x:v>Forensic Science with Criminology</x:v>
      </x:c>
      <x:c r="D184" s="33" t="str">
        <x:v>Undergraduate</x:v>
      </x:c>
      <x:c r="E184" s="33" t="str">
        <x:v>Vacancies</x:v>
      </x:c>
      <x:c r="F184" s="33" t="str">
        <x:v>F4L6</x:v>
      </x:c>
      <x:c r="G184" s="33" t="str">
        <x:v>BSc (Hons)</x:v>
      </x:c>
      <x:c r="H184" s="35" t="str">
        <x:v>64 UCAS tariff points</x:v>
      </x:c>
      <x:c r="I184" s="35" t="str">
        <x:v>Yes</x:v>
      </x:c>
      <x:c r="J184" s="35" t="str">
        <x:v>This course has additional subject-specific requirements. View the full course details or contact Admissions before applying.</x:v>
      </x:c>
      <x:c r="K184" s="35" t="str">
        <x:v>https://www.keele.ac.uk/clearing/entry-requirements/</x:v>
      </x:c>
      <x:c r="L184" s="35" t="str">
        <x:v>https://www.keele.ac.uk/study/undergraduate-2026/undergraduatecourses/forensicsciencewithcriminology/</x:v>
      </x:c>
      <x:c r="M184" s="33" t="str">
        <x:v>Yes</x:v>
      </x:c>
      <x:c r="N184" s="38" t="n">
        <x:v>46195</x:v>
      </x:c>
      <x:c r="O184" s="35" t="str">
        <x:v>Clearing content team</x:v>
      </x:c>
      <x:c r="P184" s="35" t="str">
        <x:v>Initial import from Clearing vacancies and ER page for 2026.docx</x:v>
      </x:c>
      <x:c r="Q184" s="36" t="str">
        <x:f>IF(A184="","Missing ID",IF(COUNTIF($A$5:$A$1000,A184)&gt;1,"Duplicate ID",IF(C184="","Missing title",IF(D184="","Missing type",IF(E184="","Missing availability",IF(H184="","Missing offer",IF(L184="","Missing course URL",IF(ISERROR(SEARCH("https://www.keele.ac.uk/",L184)),"Non-Keele URL",IF(AND(D184="Foundation year",ISERROR(SEARCH("#foundationyear",L184))),"FY URL missing #foundationyear",IF(M184="","Missing display status",IF(N184="","Missing review date",IF(O184="","Missing owner",IF(P184="","Missing change note","OK")))))))))))))</x:f>
        <x:v>OK</x:v>
      </x:c>
    </x:row>
    <x:row r="185">
      <x:c r="A185" s="33" t="str">
        <x:v>2026-forensicsciencewithcriminology-FY</x:v>
      </x:c>
      <x:c r="B185" s="37" t="n">
        <x:v>2026</x:v>
      </x:c>
      <x:c r="C185" s="35" t="str">
        <x:v>Forensic Science with Criminology with Foundation Year</x:v>
      </x:c>
      <x:c r="D185" s="33" t="str">
        <x:v>Foundation year</x:v>
      </x:c>
      <x:c r="E185" s="33" t="str">
        <x:v>Vacancies</x:v>
      </x:c>
      <x:c r="F185" s="33" t="str"/>
      <x:c r="G185" s="33" t="str"/>
      <x:c r="H185" s="35" t="str">
        <x:v>Course-specific</x:v>
      </x:c>
      <x:c r="I185" s="35" t="str">
        <x:v>No</x:v>
      </x:c>
      <x:c r="J185" s="35" t="str">
        <x:v>Foundation Year requirements vary by course. View the full course details or call 01782 491120 to discuss your qualifications.</x:v>
      </x:c>
      <x:c r="K185" s="35" t="str">
        <x:v>https://www.keele.ac.uk/clearing/entry-requirements/</x:v>
      </x:c>
      <x:c r="L185" s="35" t="str">
        <x:v>https://www.keele.ac.uk/study/undergraduate-2026/undergraduatecourses/forensicsciencewithcriminology/#foundationyear</x:v>
      </x:c>
      <x:c r="M185" s="33" t="str">
        <x:v>Yes</x:v>
      </x:c>
      <x:c r="N185" s="38" t="n">
        <x:v>46195</x:v>
      </x:c>
      <x:c r="O185" s="35" t="str">
        <x:v>Clearing content team</x:v>
      </x:c>
      <x:c r="P185" s="35" t="str">
        <x:v>Initial import from Clearing vacancies and ER page for 2026.docx</x:v>
      </x:c>
      <x:c r="Q185" s="36" t="str">
        <x:f>IF(A185="","Missing ID",IF(COUNTIF($A$5:$A$1000,A185)&gt;1,"Duplicate ID",IF(C185="","Missing title",IF(D185="","Missing type",IF(E185="","Missing availability",IF(H185="","Missing offer",IF(L185="","Missing course URL",IF(ISERROR(SEARCH("https://www.keele.ac.uk/",L185)),"Non-Keele URL",IF(AND(D185="Foundation year",ISERROR(SEARCH("#foundationyear",L185))),"FY URL missing #foundationyear",IF(M185="","Missing display status",IF(N185="","Missing review date",IF(O185="","Missing owner",IF(P185="","Missing change note","OK")))))))))))))</x:f>
        <x:v>OK</x:v>
      </x:c>
    </x:row>
    <x:row r="186">
      <x:c r="A186" s="33" t="str">
        <x:v>2026-forensicscience-FY</x:v>
      </x:c>
      <x:c r="B186" s="37" t="n">
        <x:v>2026</x:v>
      </x:c>
      <x:c r="C186" s="35" t="str">
        <x:v>Forensic Science with Foundation Year</x:v>
      </x:c>
      <x:c r="D186" s="33" t="str">
        <x:v>Foundation year</x:v>
      </x:c>
      <x:c r="E186" s="33" t="str">
        <x:v>Vacancies</x:v>
      </x:c>
      <x:c r="F186" s="33" t="str"/>
      <x:c r="G186" s="33" t="str"/>
      <x:c r="H186" s="35" t="str">
        <x:v>Course-specific</x:v>
      </x:c>
      <x:c r="I186" s="35" t="str">
        <x:v>No</x:v>
      </x:c>
      <x:c r="J186" s="35" t="str">
        <x:v>Foundation Year requirements vary by course. View the full course details or call 01782 491120 to discuss your qualifications.</x:v>
      </x:c>
      <x:c r="K186" s="35" t="str">
        <x:v>https://www.keele.ac.uk/clearing/entry-requirements/</x:v>
      </x:c>
      <x:c r="L186" s="35" t="str">
        <x:v>https://www.keele.ac.uk/study/undergraduate-2026/undergraduatecourses/forensicscience/#foundationyear</x:v>
      </x:c>
      <x:c r="M186" s="33" t="str">
        <x:v>Yes</x:v>
      </x:c>
      <x:c r="N186" s="38" t="n">
        <x:v>46195</x:v>
      </x:c>
      <x:c r="O186" s="35" t="str">
        <x:v>Clearing content team</x:v>
      </x:c>
      <x:c r="P186" s="35" t="str">
        <x:v>Initial import from Clearing vacancies and ER page for 2026.docx</x:v>
      </x:c>
      <x:c r="Q186" s="36" t="str">
        <x:f>IF(A186="","Missing ID",IF(COUNTIF($A$5:$A$1000,A186)&gt;1,"Duplicate ID",IF(C186="","Missing title",IF(D186="","Missing type",IF(E186="","Missing availability",IF(H186="","Missing offer",IF(L186="","Missing course URL",IF(ISERROR(SEARCH("https://www.keele.ac.uk/",L186)),"Non-Keele URL",IF(AND(D186="Foundation year",ISERROR(SEARCH("#foundationyear",L186))),"FY URL missing #foundationyear",IF(M186="","Missing display status",IF(N186="","Missing review date",IF(O186="","Missing owner",IF(P186="","Missing change note","OK")))))))))))))</x:f>
        <x:v>OK</x:v>
      </x:c>
    </x:row>
    <x:row r="187">
      <x:c r="A187" s="33" t="str">
        <x:v>2026-F412-UG</x:v>
      </x:c>
      <x:c r="B187" s="37" t="n">
        <x:v>2026</x:v>
      </x:c>
      <x:c r="C187" s="35" t="str">
        <x:v>Forensic Science with Integrated Master's</x:v>
      </x:c>
      <x:c r="D187" s="33" t="str">
        <x:v>Undergraduate</x:v>
      </x:c>
      <x:c r="E187" s="33" t="str">
        <x:v>Vacancies</x:v>
      </x:c>
      <x:c r="F187" s="33" t="str">
        <x:v>F412</x:v>
      </x:c>
      <x:c r="G187" s="33" t="str">
        <x:v>MSci</x:v>
      </x:c>
      <x:c r="H187" s="35" t="str">
        <x:v>64 UCAS tariff points</x:v>
      </x:c>
      <x:c r="I187" s="35" t="str">
        <x:v>Yes</x:v>
      </x:c>
      <x:c r="J187" s="35" t="str">
        <x:v>This course has additional subject-specific requirements. View the full course details or contact Admissions before applying.</x:v>
      </x:c>
      <x:c r="K187" s="35" t="str">
        <x:v>https://www.keele.ac.uk/clearing/entry-requirements/</x:v>
      </x:c>
      <x:c r="L187" s="35" t="str">
        <x:v>https://www.keele.ac.uk/study/undergraduate-2026/undergraduatecourses/forensicsciencewithintegratedmasters/</x:v>
      </x:c>
      <x:c r="M187" s="33" t="str">
        <x:v>Yes</x:v>
      </x:c>
      <x:c r="N187" s="38" t="n">
        <x:v>46195</x:v>
      </x:c>
      <x:c r="O187" s="35" t="str">
        <x:v>Clearing content team</x:v>
      </x:c>
      <x:c r="P187" s="35" t="str">
        <x:v>Initial import from Clearing vacancies and ER page for 2026.docx</x:v>
      </x:c>
      <x:c r="Q187" s="36" t="str">
        <x:f>IF(A187="","Missing ID",IF(COUNTIF($A$5:$A$1000,A187)&gt;1,"Duplicate ID",IF(C187="","Missing title",IF(D187="","Missing type",IF(E187="","Missing availability",IF(H187="","Missing offer",IF(L187="","Missing course URL",IF(ISERROR(SEARCH("https://www.keele.ac.uk/",L187)),"Non-Keele URL",IF(AND(D187="Foundation year",ISERROR(SEARCH("#foundationyear",L187))),"FY URL missing #foundationyear",IF(M187="","Missing display status",IF(N187="","Missing review date",IF(O187="","Missing owner",IF(P187="","Missing change note","OK")))))))))))))</x:f>
        <x:v>OK</x:v>
      </x:c>
    </x:row>
    <x:row r="188">
      <x:c r="A188" s="33" t="str">
        <x:v>2026-forensicsciencewithintegratedmasters-FY</x:v>
      </x:c>
      <x:c r="B188" s="37" t="n">
        <x:v>2026</x:v>
      </x:c>
      <x:c r="C188" s="35" t="str">
        <x:v>Forensic Science with Integrated Master's with Foundation Year</x:v>
      </x:c>
      <x:c r="D188" s="33" t="str">
        <x:v>Foundation year</x:v>
      </x:c>
      <x:c r="E188" s="33" t="str">
        <x:v>Vacancies</x:v>
      </x:c>
      <x:c r="F188" s="33" t="str"/>
      <x:c r="G188" s="33" t="str"/>
      <x:c r="H188" s="35" t="str">
        <x:v>Course-specific</x:v>
      </x:c>
      <x:c r="I188" s="35" t="str">
        <x:v>No</x:v>
      </x:c>
      <x:c r="J188" s="35" t="str">
        <x:v>Foundation Year requirements vary by course. View the full course details or call 01782 491120 to discuss your qualifications.</x:v>
      </x:c>
      <x:c r="K188" s="35" t="str">
        <x:v>https://www.keele.ac.uk/clearing/entry-requirements/</x:v>
      </x:c>
      <x:c r="L188" s="35" t="str">
        <x:v>https://www.keele.ac.uk/study/undergraduate-2026/undergraduatecourses/forensicsciencewithintegratedmasters/#foundationyear</x:v>
      </x:c>
      <x:c r="M188" s="33" t="str">
        <x:v>Yes</x:v>
      </x:c>
      <x:c r="N188" s="38" t="n">
        <x:v>46195</x:v>
      </x:c>
      <x:c r="O188" s="35" t="str">
        <x:v>Clearing content team</x:v>
      </x:c>
      <x:c r="P188" s="35" t="str">
        <x:v>Initial import from Clearing vacancies and ER page for 2026.docx</x:v>
      </x:c>
      <x:c r="Q188" s="36" t="str">
        <x:f>IF(A188="","Missing ID",IF(COUNTIF($A$5:$A$1000,A188)&gt;1,"Duplicate ID",IF(C188="","Missing title",IF(D188="","Missing type",IF(E188="","Missing availability",IF(H188="","Missing offer",IF(L188="","Missing course URL",IF(ISERROR(SEARCH("https://www.keele.ac.uk/",L188)),"Non-Keele URL",IF(AND(D188="Foundation year",ISERROR(SEARCH("#foundationyear",L188))),"FY URL missing #foundationyear",IF(M188="","Missing display status",IF(N188="","Missing review date",IF(O188="","Missing owner",IF(P188="","Missing change note","OK")))))))))))))</x:f>
        <x:v>OK</x:v>
      </x:c>
    </x:row>
    <x:row r="189">
      <x:c r="A189" s="33" t="str">
        <x:v>2026-W291-UG</x:v>
      </x:c>
      <x:c r="B189" s="37" t="n">
        <x:v>2026</x:v>
      </x:c>
      <x:c r="C189" s="35" t="str">
        <x:v>Game Design</x:v>
      </x:c>
      <x:c r="D189" s="33" t="str">
        <x:v>Undergraduate</x:v>
      </x:c>
      <x:c r="E189" s="33" t="str">
        <x:v>Vacancies</x:v>
      </x:c>
      <x:c r="F189" s="33" t="str">
        <x:v>W291</x:v>
      </x:c>
      <x:c r="G189" s="33" t="str">
        <x:v>BA (Hons)</x:v>
      </x:c>
      <x:c r="H189" s="35" t="str">
        <x:v>64 UCAS tariff points</x:v>
      </x:c>
      <x:c r="I189" s="35" t="str">
        <x:v>No</x:v>
      </x:c>
      <x:c r="J189" s="35" t="str">
        <x:v>Most undergraduate courses require GCSE English Language at grade 4/C or equivalent. Some courses also require GCSE Mathematics at grade 4/C or equivalent.</x:v>
      </x:c>
      <x:c r="K189" s="35" t="str">
        <x:v>https://www.keele.ac.uk/clearing/entry-requirements/</x:v>
      </x:c>
      <x:c r="L189" s="35" t="str">
        <x:v>https://www.keele.ac.uk/study/undergraduate-2026/undergraduatecourses/gamedesign/</x:v>
      </x:c>
      <x:c r="M189" s="33" t="str">
        <x:v>Yes</x:v>
      </x:c>
      <x:c r="N189" s="38" t="n">
        <x:v>46195</x:v>
      </x:c>
      <x:c r="O189" s="35" t="str">
        <x:v>Clearing content team</x:v>
      </x:c>
      <x:c r="P189" s="35" t="str">
        <x:v>Initial import from Clearing vacancies and ER page for 2026.docx</x:v>
      </x:c>
      <x:c r="Q189" s="36" t="str">
        <x:f>IF(A189="","Missing ID",IF(COUNTIF($A$5:$A$1000,A189)&gt;1,"Duplicate ID",IF(C189="","Missing title",IF(D189="","Missing type",IF(E189="","Missing availability",IF(H189="","Missing offer",IF(L189="","Missing course URL",IF(ISERROR(SEARCH("https://www.keele.ac.uk/",L189)),"Non-Keele URL",IF(AND(D189="Foundation year",ISERROR(SEARCH("#foundationyear",L189))),"FY URL missing #foundationyear",IF(M189="","Missing display status",IF(N189="","Missing review date",IF(O189="","Missing owner",IF(P189="","Missing change note","OK")))))))))))))</x:f>
        <x:v>OK</x:v>
      </x:c>
    </x:row>
    <x:row r="190">
      <x:c r="A190" s="33" t="str">
        <x:v>2026-gamedesign-FY</x:v>
      </x:c>
      <x:c r="B190" s="37" t="n">
        <x:v>2026</x:v>
      </x:c>
      <x:c r="C190" s="35" t="str">
        <x:v>Game Design with Foundation Year</x:v>
      </x:c>
      <x:c r="D190" s="33" t="str">
        <x:v>Foundation year</x:v>
      </x:c>
      <x:c r="E190" s="33" t="str">
        <x:v>Vacancies</x:v>
      </x:c>
      <x:c r="F190" s="33" t="str"/>
      <x:c r="G190" s="33" t="str"/>
      <x:c r="H190" s="35" t="str">
        <x:v>Course-specific</x:v>
      </x:c>
      <x:c r="I190" s="35" t="str">
        <x:v>No</x:v>
      </x:c>
      <x:c r="J190" s="35" t="str">
        <x:v>Foundation Year requirements vary by course. View the full course details or call 01782 491120 to discuss your qualifications.</x:v>
      </x:c>
      <x:c r="K190" s="35" t="str">
        <x:v>https://www.keele.ac.uk/clearing/entry-requirements/</x:v>
      </x:c>
      <x:c r="L190" s="35" t="str">
        <x:v>https://www.keele.ac.uk/study/undergraduate-2026/undergraduatecourses/gamedesign/#foundationyear</x:v>
      </x:c>
      <x:c r="M190" s="33" t="str">
        <x:v>Yes</x:v>
      </x:c>
      <x:c r="N190" s="38" t="n">
        <x:v>46195</x:v>
      </x:c>
      <x:c r="O190" s="35" t="str">
        <x:v>Clearing content team</x:v>
      </x:c>
      <x:c r="P190" s="35" t="str">
        <x:v>Initial import from Clearing vacancies and ER page for 2026.docx</x:v>
      </x:c>
      <x:c r="Q190" s="36" t="str">
        <x:f>IF(A190="","Missing ID",IF(COUNTIF($A$5:$A$1000,A190)&gt;1,"Duplicate ID",IF(C190="","Missing title",IF(D190="","Missing type",IF(E190="","Missing availability",IF(H190="","Missing offer",IF(L190="","Missing course URL",IF(ISERROR(SEARCH("https://www.keele.ac.uk/",L190)),"Non-Keele URL",IF(AND(D190="Foundation year",ISERROR(SEARCH("#foundationyear",L190))),"FY URL missing #foundationyear",IF(M190="","Missing display status",IF(N190="","Missing review date",IF(O190="","Missing owner",IF(P190="","Missing change note","OK")))))))))))))</x:f>
        <x:v>OK</x:v>
      </x:c>
    </x:row>
    <x:row r="191">
      <x:c r="A191" s="33" t="str">
        <x:v>2026-FL87-UG</x:v>
      </x:c>
      <x:c r="B191" s="37" t="n">
        <x:v>2026</x:v>
      </x:c>
      <x:c r="C191" s="35" t="str">
        <x:v>Geography (Human and Physical)</x:v>
      </x:c>
      <x:c r="D191" s="33" t="str">
        <x:v>Undergraduate</x:v>
      </x:c>
      <x:c r="E191" s="33" t="str">
        <x:v>Vacancies</x:v>
      </x:c>
      <x:c r="F191" s="33" t="str">
        <x:v>FL87</x:v>
      </x:c>
      <x:c r="G191" s="33" t="str">
        <x:v>BSc (Hons)</x:v>
      </x:c>
      <x:c r="H191" s="35" t="str">
        <x:v>64 UCAS tariff points</x:v>
      </x:c>
      <x:c r="I191" s="35" t="str">
        <x:v>No</x:v>
      </x:c>
      <x:c r="J191" s="35" t="str">
        <x:v>Most undergraduate courses require GCSE English Language at grade 4/C or equivalent. Some courses also require GCSE Mathematics at grade 4/C or equivalent.</x:v>
      </x:c>
      <x:c r="K191" s="35" t="str">
        <x:v>https://www.keele.ac.uk/clearing/entry-requirements/</x:v>
      </x:c>
      <x:c r="L191" s="35" t="str">
        <x:v>https://www.keele.ac.uk/study/undergraduate-2026/undergraduatecourses/geographyhumanandphysical/</x:v>
      </x:c>
      <x:c r="M191" s="33" t="str">
        <x:v>Yes</x:v>
      </x:c>
      <x:c r="N191" s="38" t="n">
        <x:v>46195</x:v>
      </x:c>
      <x:c r="O191" s="35" t="str">
        <x:v>Clearing content team</x:v>
      </x:c>
      <x:c r="P191" s="35" t="str">
        <x:v>Initial import from Clearing vacancies and ER page for 2026.docx</x:v>
      </x:c>
      <x:c r="Q191" s="36" t="str">
        <x:f>IF(A191="","Missing ID",IF(COUNTIF($A$5:$A$1000,A191)&gt;1,"Duplicate ID",IF(C191="","Missing title",IF(D191="","Missing type",IF(E191="","Missing availability",IF(H191="","Missing offer",IF(L191="","Missing course URL",IF(ISERROR(SEARCH("https://www.keele.ac.uk/",L191)),"Non-Keele URL",IF(AND(D191="Foundation year",ISERROR(SEARCH("#foundationyear",L191))),"FY URL missing #foundationyear",IF(M191="","Missing display status",IF(N191="","Missing review date",IF(O191="","Missing owner",IF(P191="","Missing change note","OK")))))))))))))</x:f>
        <x:v>OK</x:v>
      </x:c>
    </x:row>
    <x:row r="192">
      <x:c r="A192" s="33" t="str">
        <x:v>2026-geographyhumanandphysical-FY</x:v>
      </x:c>
      <x:c r="B192" s="37" t="n">
        <x:v>2026</x:v>
      </x:c>
      <x:c r="C192" s="35" t="str">
        <x:v>Geography (Human and Physical) with Foundation Year</x:v>
      </x:c>
      <x:c r="D192" s="33" t="str">
        <x:v>Foundation year</x:v>
      </x:c>
      <x:c r="E192" s="33" t="str">
        <x:v>Vacancies</x:v>
      </x:c>
      <x:c r="F192" s="33" t="str"/>
      <x:c r="G192" s="33" t="str"/>
      <x:c r="H192" s="35" t="str">
        <x:v>Course-specific</x:v>
      </x:c>
      <x:c r="I192" s="35" t="str">
        <x:v>No</x:v>
      </x:c>
      <x:c r="J192" s="35" t="str">
        <x:v>Foundation Year requirements vary by course. View the full course details or call 01782 491120 to discuss your qualifications.</x:v>
      </x:c>
      <x:c r="K192" s="35" t="str">
        <x:v>https://www.keele.ac.uk/clearing/entry-requirements/</x:v>
      </x:c>
      <x:c r="L192" s="35" t="str">
        <x:v>https://www.keele.ac.uk/study/undergraduate-2026/undergraduatecourses/geographyhumanandphysical/#foundationyear</x:v>
      </x:c>
      <x:c r="M192" s="33" t="str">
        <x:v>Yes</x:v>
      </x:c>
      <x:c r="N192" s="38" t="n">
        <x:v>46195</x:v>
      </x:c>
      <x:c r="O192" s="35" t="str">
        <x:v>Clearing content team</x:v>
      </x:c>
      <x:c r="P192" s="35" t="str">
        <x:v>Initial import from Clearing vacancies and ER page for 2026.docx</x:v>
      </x:c>
      <x:c r="Q192" s="36" t="str">
        <x:f>IF(A192="","Missing ID",IF(COUNTIF($A$5:$A$1000,A192)&gt;1,"Duplicate ID",IF(C192="","Missing title",IF(D192="","Missing type",IF(E192="","Missing availability",IF(H192="","Missing offer",IF(L192="","Missing course URL",IF(ISERROR(SEARCH("https://www.keele.ac.uk/",L192)),"Non-Keele URL",IF(AND(D192="Foundation year",ISERROR(SEARCH("#foundationyear",L192))),"FY URL missing #foundationyear",IF(M192="","Missing display status",IF(N192="","Missing review date",IF(O192="","Missing owner",IF(P192="","Missing change note","OK")))))))))))))</x:f>
        <x:v>OK</x:v>
      </x:c>
    </x:row>
    <x:row r="193">
      <x:c r="A193" s="33" t="str">
        <x:v>2026-geographyhumanandphysicalwithintegratedmasters-FY</x:v>
      </x:c>
      <x:c r="B193" s="37" t="n">
        <x:v>2026</x:v>
      </x:c>
      <x:c r="C193" s="35" t="str">
        <x:v>Geography (Human and Physical) with Integrated Master's with Foundation Year</x:v>
      </x:c>
      <x:c r="D193" s="33" t="str">
        <x:v>Foundation year</x:v>
      </x:c>
      <x:c r="E193" s="33" t="str">
        <x:v>Vacancies</x:v>
      </x:c>
      <x:c r="F193" s="33" t="str"/>
      <x:c r="G193" s="33" t="str"/>
      <x:c r="H193" s="35" t="str">
        <x:v>Course-specific</x:v>
      </x:c>
      <x:c r="I193" s="35" t="str">
        <x:v>No</x:v>
      </x:c>
      <x:c r="J193" s="35" t="str">
        <x:v>Foundation Year requirements vary by course. View the full course details or call 01782 491120 to discuss your qualifications.</x:v>
      </x:c>
      <x:c r="K193" s="35" t="str">
        <x:v>https://www.keele.ac.uk/clearing/entry-requirements/</x:v>
      </x:c>
      <x:c r="L193" s="35" t="str">
        <x:v>https://www.keele.ac.uk/study/undergraduate-2026/undergraduatecourses/geographyhumanandphysicalwithintegratedmasters/#foundationyear</x:v>
      </x:c>
      <x:c r="M193" s="33" t="str">
        <x:v>Yes</x:v>
      </x:c>
      <x:c r="N193" s="38" t="n">
        <x:v>46195</x:v>
      </x:c>
      <x:c r="O193" s="35" t="str">
        <x:v>Clearing content team</x:v>
      </x:c>
      <x:c r="P193" s="35" t="str">
        <x:v>Initial import from Clearing vacancies and ER page for 2026.docx</x:v>
      </x:c>
      <x:c r="Q193" s="36" t="str">
        <x:f>IF(A193="","Missing ID",IF(COUNTIF($A$5:$A$1000,A193)&gt;1,"Duplicate ID",IF(C193="","Missing title",IF(D193="","Missing type",IF(E193="","Missing availability",IF(H193="","Missing offer",IF(L193="","Missing course URL",IF(ISERROR(SEARCH("https://www.keele.ac.uk/",L193)),"Non-Keele URL",IF(AND(D193="Foundation year",ISERROR(SEARCH("#foundationyear",L193))),"FY URL missing #foundationyear",IF(M193="","Missing display status",IF(N193="","Missing review date",IF(O193="","Missing owner",IF(P193="","Missing change note","OK")))))))))))))</x:f>
        <x:v>OK</x:v>
      </x:c>
    </x:row>
    <x:row r="194">
      <x:c r="A194" s="33" t="str">
        <x:v>2026-L701-UG</x:v>
      </x:c>
      <x:c r="B194" s="37" t="n">
        <x:v>2026</x:v>
      </x:c>
      <x:c r="C194" s="35" t="str">
        <x:v>Geography (Human)</x:v>
      </x:c>
      <x:c r="D194" s="33" t="str">
        <x:v>Undergraduate</x:v>
      </x:c>
      <x:c r="E194" s="33" t="str">
        <x:v>Vacancies</x:v>
      </x:c>
      <x:c r="F194" s="33" t="str">
        <x:v>L701</x:v>
      </x:c>
      <x:c r="G194" s="33" t="str">
        <x:v>BSc (Hons)</x:v>
      </x:c>
      <x:c r="H194" s="35" t="str">
        <x:v>64 UCAS tariff points</x:v>
      </x:c>
      <x:c r="I194" s="35" t="str">
        <x:v>No</x:v>
      </x:c>
      <x:c r="J194" s="35" t="str">
        <x:v>Most undergraduate courses require GCSE English Language at grade 4/C or equivalent. Some courses also require GCSE Mathematics at grade 4/C or equivalent.</x:v>
      </x:c>
      <x:c r="K194" s="35" t="str">
        <x:v>https://www.keele.ac.uk/clearing/entry-requirements/</x:v>
      </x:c>
      <x:c r="L194" s="35" t="str">
        <x:v>https://www.keele.ac.uk/study/undergraduate-2026/undergraduatecourses/geographyhuman/</x:v>
      </x:c>
      <x:c r="M194" s="33" t="str">
        <x:v>Yes</x:v>
      </x:c>
      <x:c r="N194" s="38" t="n">
        <x:v>46195</x:v>
      </x:c>
      <x:c r="O194" s="35" t="str">
        <x:v>Clearing content team</x:v>
      </x:c>
      <x:c r="P194" s="35" t="str">
        <x:v>Initial import from Clearing vacancies and ER page for 2026.docx</x:v>
      </x:c>
      <x:c r="Q194" s="36" t="str">
        <x:f>IF(A194="","Missing ID",IF(COUNTIF($A$5:$A$1000,A194)&gt;1,"Duplicate ID",IF(C194="","Missing title",IF(D194="","Missing type",IF(E194="","Missing availability",IF(H194="","Missing offer",IF(L194="","Missing course URL",IF(ISERROR(SEARCH("https://www.keele.ac.uk/",L194)),"Non-Keele URL",IF(AND(D194="Foundation year",ISERROR(SEARCH("#foundationyear",L194))),"FY URL missing #foundationyear",IF(M194="","Missing display status",IF(N194="","Missing review date",IF(O194="","Missing owner",IF(P194="","Missing change note","OK")))))))))))))</x:f>
        <x:v>OK</x:v>
      </x:c>
    </x:row>
    <x:row r="195">
      <x:c r="A195" s="33" t="str">
        <x:v>2026-geographyhuman-FY</x:v>
      </x:c>
      <x:c r="B195" s="37" t="n">
        <x:v>2026</x:v>
      </x:c>
      <x:c r="C195" s="35" t="str">
        <x:v>Geography (Human) with Foundation Year</x:v>
      </x:c>
      <x:c r="D195" s="33" t="str">
        <x:v>Foundation year</x:v>
      </x:c>
      <x:c r="E195" s="33" t="str">
        <x:v>Vacancies</x:v>
      </x:c>
      <x:c r="F195" s="33" t="str"/>
      <x:c r="G195" s="33" t="str"/>
      <x:c r="H195" s="35" t="str">
        <x:v>Course-specific</x:v>
      </x:c>
      <x:c r="I195" s="35" t="str">
        <x:v>No</x:v>
      </x:c>
      <x:c r="J195" s="35" t="str">
        <x:v>Foundation Year requirements vary by course. View the full course details or call 01782 491120 to discuss your qualifications.</x:v>
      </x:c>
      <x:c r="K195" s="35" t="str">
        <x:v>https://www.keele.ac.uk/clearing/entry-requirements/</x:v>
      </x:c>
      <x:c r="L195" s="35" t="str">
        <x:v>https://www.keele.ac.uk/study/undergraduate-2026/undergraduatecourses/geographyhuman/#foundationyear</x:v>
      </x:c>
      <x:c r="M195" s="33" t="str">
        <x:v>Yes</x:v>
      </x:c>
      <x:c r="N195" s="38" t="n">
        <x:v>46195</x:v>
      </x:c>
      <x:c r="O195" s="35" t="str">
        <x:v>Clearing content team</x:v>
      </x:c>
      <x:c r="P195" s="35" t="str">
        <x:v>Initial import from Clearing vacancies and ER page for 2026.docx</x:v>
      </x:c>
      <x:c r="Q195" s="36" t="str">
        <x:f>IF(A195="","Missing ID",IF(COUNTIF($A$5:$A$1000,A195)&gt;1,"Duplicate ID",IF(C195="","Missing title",IF(D195="","Missing type",IF(E195="","Missing availability",IF(H195="","Missing offer",IF(L195="","Missing course URL",IF(ISERROR(SEARCH("https://www.keele.ac.uk/",L195)),"Non-Keele URL",IF(AND(D195="Foundation year",ISERROR(SEARCH("#foundationyear",L195))),"FY URL missing #foundationyear",IF(M195="","Missing display status",IF(N195="","Missing review date",IF(O195="","Missing owner",IF(P195="","Missing change note","OK")))))))))))))</x:f>
        <x:v>OK</x:v>
      </x:c>
    </x:row>
    <x:row r="196">
      <x:c r="A196" s="33" t="str">
        <x:v>2026-geographyhumanwithintegratedmasters-FY</x:v>
      </x:c>
      <x:c r="B196" s="37" t="n">
        <x:v>2026</x:v>
      </x:c>
      <x:c r="C196" s="35" t="str">
        <x:v>Geography (Human) with Integrated Master's with Foundation Year</x:v>
      </x:c>
      <x:c r="D196" s="33" t="str">
        <x:v>Foundation year</x:v>
      </x:c>
      <x:c r="E196" s="33" t="str">
        <x:v>Vacancies</x:v>
      </x:c>
      <x:c r="F196" s="33" t="str"/>
      <x:c r="G196" s="33" t="str"/>
      <x:c r="H196" s="35" t="str">
        <x:v>Course-specific</x:v>
      </x:c>
      <x:c r="I196" s="35" t="str">
        <x:v>No</x:v>
      </x:c>
      <x:c r="J196" s="35" t="str">
        <x:v>Foundation Year requirements vary by course. View the full course details or call 01782 491120 to discuss your qualifications.</x:v>
      </x:c>
      <x:c r="K196" s="35" t="str">
        <x:v>https://www.keele.ac.uk/clearing/entry-requirements/</x:v>
      </x:c>
      <x:c r="L196" s="35" t="str">
        <x:v>https://www.keele.ac.uk/study/undergraduate-2026/undergraduatecourses/geographyhumanwithintegratedmasters/#foundationyear</x:v>
      </x:c>
      <x:c r="M196" s="33" t="str">
        <x:v>Yes</x:v>
      </x:c>
      <x:c r="N196" s="38" t="n">
        <x:v>46195</x:v>
      </x:c>
      <x:c r="O196" s="35" t="str">
        <x:v>Clearing content team</x:v>
      </x:c>
      <x:c r="P196" s="35" t="str">
        <x:v>Initial import from Clearing vacancies and ER page for 2026.docx</x:v>
      </x:c>
      <x:c r="Q196" s="36" t="str">
        <x:f>IF(A196="","Missing ID",IF(COUNTIF($A$5:$A$1000,A196)&gt;1,"Duplicate ID",IF(C196="","Missing title",IF(D196="","Missing type",IF(E196="","Missing availability",IF(H196="","Missing offer",IF(L196="","Missing course URL",IF(ISERROR(SEARCH("https://www.keele.ac.uk/",L196)),"Non-Keele URL",IF(AND(D196="Foundation year",ISERROR(SEARCH("#foundationyear",L196))),"FY URL missing #foundationyear",IF(M196="","Missing display status",IF(N196="","Missing review date",IF(O196="","Missing owner",IF(P196="","Missing change note","OK")))))))))))))</x:f>
        <x:v>OK</x:v>
      </x:c>
    </x:row>
    <x:row r="197">
      <x:c r="A197" s="33" t="str">
        <x:v>2026-F801-UG</x:v>
      </x:c>
      <x:c r="B197" s="37" t="n">
        <x:v>2026</x:v>
      </x:c>
      <x:c r="C197" s="35" t="str">
        <x:v>Geography (Physical)</x:v>
      </x:c>
      <x:c r="D197" s="33" t="str">
        <x:v>Undergraduate</x:v>
      </x:c>
      <x:c r="E197" s="33" t="str">
        <x:v>Vacancies</x:v>
      </x:c>
      <x:c r="F197" s="33" t="str">
        <x:v>F801</x:v>
      </x:c>
      <x:c r="G197" s="33" t="str">
        <x:v>BSc (Hons)</x:v>
      </x:c>
      <x:c r="H197" s="35" t="str">
        <x:v>64 UCAS tariff points</x:v>
      </x:c>
      <x:c r="I197" s="35" t="str">
        <x:v>No</x:v>
      </x:c>
      <x:c r="J197" s="35" t="str">
        <x:v>Most undergraduate courses require GCSE English Language at grade 4/C or equivalent. Some courses also require GCSE Mathematics at grade 4/C or equivalent.</x:v>
      </x:c>
      <x:c r="K197" s="35" t="str">
        <x:v>https://www.keele.ac.uk/clearing/entry-requirements/</x:v>
      </x:c>
      <x:c r="L197" s="35" t="str">
        <x:v>https://www.keele.ac.uk/study/undergraduate-2026/undergraduatecourses/geographyphysical/</x:v>
      </x:c>
      <x:c r="M197" s="33" t="str">
        <x:v>Yes</x:v>
      </x:c>
      <x:c r="N197" s="38" t="n">
        <x:v>46195</x:v>
      </x:c>
      <x:c r="O197" s="35" t="str">
        <x:v>Clearing content team</x:v>
      </x:c>
      <x:c r="P197" s="35" t="str">
        <x:v>Initial import from Clearing vacancies and ER page for 2026.docx</x:v>
      </x:c>
      <x:c r="Q197" s="36" t="str">
        <x:f>IF(A197="","Missing ID",IF(COUNTIF($A$5:$A$1000,A197)&gt;1,"Duplicate ID",IF(C197="","Missing title",IF(D197="","Missing type",IF(E197="","Missing availability",IF(H197="","Missing offer",IF(L197="","Missing course URL",IF(ISERROR(SEARCH("https://www.keele.ac.uk/",L197)),"Non-Keele URL",IF(AND(D197="Foundation year",ISERROR(SEARCH("#foundationyear",L197))),"FY URL missing #foundationyear",IF(M197="","Missing display status",IF(N197="","Missing review date",IF(O197="","Missing owner",IF(P197="","Missing change note","OK")))))))))))))</x:f>
        <x:v>OK</x:v>
      </x:c>
    </x:row>
    <x:row r="198">
      <x:c r="A198" s="33" t="str">
        <x:v>2026-geographyphysical-FY</x:v>
      </x:c>
      <x:c r="B198" s="37" t="n">
        <x:v>2026</x:v>
      </x:c>
      <x:c r="C198" s="35" t="str">
        <x:v>Geography (Physical) with Foundation Year</x:v>
      </x:c>
      <x:c r="D198" s="33" t="str">
        <x:v>Foundation year</x:v>
      </x:c>
      <x:c r="E198" s="33" t="str">
        <x:v>Vacancies</x:v>
      </x:c>
      <x:c r="F198" s="33" t="str"/>
      <x:c r="G198" s="33" t="str"/>
      <x:c r="H198" s="35" t="str">
        <x:v>Course-specific</x:v>
      </x:c>
      <x:c r="I198" s="35" t="str">
        <x:v>No</x:v>
      </x:c>
      <x:c r="J198" s="35" t="str">
        <x:v>Foundation Year requirements vary by course. View the full course details or call 01782 491120 to discuss your qualifications.</x:v>
      </x:c>
      <x:c r="K198" s="35" t="str">
        <x:v>https://www.keele.ac.uk/clearing/entry-requirements/</x:v>
      </x:c>
      <x:c r="L198" s="35" t="str">
        <x:v>https://www.keele.ac.uk/study/undergraduate-2026/undergraduatecourses/geographyphysical/#foundationyear</x:v>
      </x:c>
      <x:c r="M198" s="33" t="str">
        <x:v>Yes</x:v>
      </x:c>
      <x:c r="N198" s="38" t="n">
        <x:v>46195</x:v>
      </x:c>
      <x:c r="O198" s="35" t="str">
        <x:v>Clearing content team</x:v>
      </x:c>
      <x:c r="P198" s="35" t="str">
        <x:v>Initial import from Clearing vacancies and ER page for 2026.docx</x:v>
      </x:c>
      <x:c r="Q198" s="36" t="str">
        <x:f>IF(A198="","Missing ID",IF(COUNTIF($A$5:$A$1000,A198)&gt;1,"Duplicate ID",IF(C198="","Missing title",IF(D198="","Missing type",IF(E198="","Missing availability",IF(H198="","Missing offer",IF(L198="","Missing course URL",IF(ISERROR(SEARCH("https://www.keele.ac.uk/",L198)),"Non-Keele URL",IF(AND(D198="Foundation year",ISERROR(SEARCH("#foundationyear",L198))),"FY URL missing #foundationyear",IF(M198="","Missing display status",IF(N198="","Missing review date",IF(O198="","Missing owner",IF(P198="","Missing change note","OK")))))))))))))</x:f>
        <x:v>OK</x:v>
      </x:c>
    </x:row>
    <x:row r="199">
      <x:c r="A199" s="33" t="str">
        <x:v>2026-geographyphysicalwithintegratedmasters-FY</x:v>
      </x:c>
      <x:c r="B199" s="37" t="n">
        <x:v>2026</x:v>
      </x:c>
      <x:c r="C199" s="35" t="str">
        <x:v>Geography (Physical) with Integrated Master's with Foundation Year</x:v>
      </x:c>
      <x:c r="D199" s="33" t="str">
        <x:v>Foundation year</x:v>
      </x:c>
      <x:c r="E199" s="33" t="str">
        <x:v>Vacancies</x:v>
      </x:c>
      <x:c r="F199" s="33" t="str"/>
      <x:c r="G199" s="33" t="str"/>
      <x:c r="H199" s="35" t="str">
        <x:v>Course-specific</x:v>
      </x:c>
      <x:c r="I199" s="35" t="str">
        <x:v>No</x:v>
      </x:c>
      <x:c r="J199" s="35" t="str">
        <x:v>Foundation Year requirements vary by course. View the full course details or call 01782 491120 to discuss your qualifications.</x:v>
      </x:c>
      <x:c r="K199" s="35" t="str">
        <x:v>https://www.keele.ac.uk/clearing/entry-requirements/</x:v>
      </x:c>
      <x:c r="L199" s="35" t="str">
        <x:v>https://www.keele.ac.uk/study/undergraduate-2026/undergraduatecourses/geographyphysicalwithintegratedmasters/#foundationyear</x:v>
      </x:c>
      <x:c r="M199" s="33" t="str">
        <x:v>Yes</x:v>
      </x:c>
      <x:c r="N199" s="38" t="n">
        <x:v>46195</x:v>
      </x:c>
      <x:c r="O199" s="35" t="str">
        <x:v>Clearing content team</x:v>
      </x:c>
      <x:c r="P199" s="35" t="str">
        <x:v>Initial import from Clearing vacancies and ER page for 2026.docx</x:v>
      </x:c>
      <x:c r="Q199" s="36" t="str">
        <x:f>IF(A199="","Missing ID",IF(COUNTIF($A$5:$A$1000,A199)&gt;1,"Duplicate ID",IF(C199="","Missing title",IF(D199="","Missing type",IF(E199="","Missing availability",IF(H199="","Missing offer",IF(L199="","Missing course URL",IF(ISERROR(SEARCH("https://www.keele.ac.uk/",L199)),"Non-Keele URL",IF(AND(D199="Foundation year",ISERROR(SEARCH("#foundationyear",L199))),"FY URL missing #foundationyear",IF(M199="","Missing display status",IF(N199="","Missing review date",IF(O199="","Missing owner",IF(P199="","Missing change note","OK")))))))))))))</x:f>
        <x:v>OK</x:v>
      </x:c>
    </x:row>
    <x:row r="200">
      <x:c r="A200" s="33" t="str">
        <x:v>2026-L7N2-UG</x:v>
      </x:c>
      <x:c r="B200" s="37" t="n">
        <x:v>2026</x:v>
      </x:c>
      <x:c r="C200" s="35" t="str">
        <x:v>Geography with Business Management</x:v>
      </x:c>
      <x:c r="D200" s="33" t="str">
        <x:v>Undergraduate</x:v>
      </x:c>
      <x:c r="E200" s="33" t="str">
        <x:v>Vacancies</x:v>
      </x:c>
      <x:c r="F200" s="33" t="str">
        <x:v>L7N2</x:v>
      </x:c>
      <x:c r="G200" s="33" t="str">
        <x:v>BSc (Hons)</x:v>
      </x:c>
      <x:c r="H200" s="35" t="str">
        <x:v>64 UCAS tariff points</x:v>
      </x:c>
      <x:c r="I200" s="35" t="str">
        <x:v>No</x:v>
      </x:c>
      <x:c r="J200" s="35" t="str">
        <x:v>Most undergraduate courses require GCSE English Language at grade 4/C or equivalent. Some courses also require GCSE Mathematics at grade 4/C or equivalent.</x:v>
      </x:c>
      <x:c r="K200" s="35" t="str">
        <x:v>https://www.keele.ac.uk/clearing/entry-requirements/</x:v>
      </x:c>
      <x:c r="L200" s="35" t="str">
        <x:v>https://www.keele.ac.uk/study/undergraduate-2026/undergraduatecourses/geographywithbusinessmanagement/</x:v>
      </x:c>
      <x:c r="M200" s="33" t="str">
        <x:v>Yes</x:v>
      </x:c>
      <x:c r="N200" s="38" t="n">
        <x:v>46195</x:v>
      </x:c>
      <x:c r="O200" s="35" t="str">
        <x:v>Clearing content team</x:v>
      </x:c>
      <x:c r="P200" s="35" t="str">
        <x:v>Initial import from Clearing vacancies and ER page for 2026.docx</x:v>
      </x:c>
      <x:c r="Q200" s="36" t="str">
        <x:f>IF(A200="","Missing ID",IF(COUNTIF($A$5:$A$1000,A200)&gt;1,"Duplicate ID",IF(C200="","Missing title",IF(D200="","Missing type",IF(E200="","Missing availability",IF(H200="","Missing offer",IF(L200="","Missing course URL",IF(ISERROR(SEARCH("https://www.keele.ac.uk/",L200)),"Non-Keele URL",IF(AND(D200="Foundation year",ISERROR(SEARCH("#foundationyear",L200))),"FY URL missing #foundationyear",IF(M200="","Missing display status",IF(N200="","Missing review date",IF(O200="","Missing owner",IF(P200="","Missing change note","OK")))))))))))))</x:f>
        <x:v>OK</x:v>
      </x:c>
    </x:row>
    <x:row r="201">
      <x:c r="A201" s="33" t="str">
        <x:v>2026-geographywithbusinessmanagement-FY</x:v>
      </x:c>
      <x:c r="B201" s="37" t="n">
        <x:v>2026</x:v>
      </x:c>
      <x:c r="C201" s="35" t="str">
        <x:v>Geography with Business Management with Foundation Year</x:v>
      </x:c>
      <x:c r="D201" s="33" t="str">
        <x:v>Foundation year</x:v>
      </x:c>
      <x:c r="E201" s="33" t="str">
        <x:v>Vacancies</x:v>
      </x:c>
      <x:c r="F201" s="33" t="str"/>
      <x:c r="G201" s="33" t="str"/>
      <x:c r="H201" s="35" t="str">
        <x:v>Course-specific</x:v>
      </x:c>
      <x:c r="I201" s="35" t="str">
        <x:v>No</x:v>
      </x:c>
      <x:c r="J201" s="35" t="str">
        <x:v>Foundation Year requirements vary by course. View the full course details or call 01782 491120 to discuss your qualifications.</x:v>
      </x:c>
      <x:c r="K201" s="35" t="str">
        <x:v>https://www.keele.ac.uk/clearing/entry-requirements/</x:v>
      </x:c>
      <x:c r="L201" s="35" t="str">
        <x:v>https://www.keele.ac.uk/study/undergraduate-2026/undergraduatecourses/geographywithbusinessmanagement/#foundationyear</x:v>
      </x:c>
      <x:c r="M201" s="33" t="str">
        <x:v>Yes</x:v>
      </x:c>
      <x:c r="N201" s="38" t="n">
        <x:v>46195</x:v>
      </x:c>
      <x:c r="O201" s="35" t="str">
        <x:v>Clearing content team</x:v>
      </x:c>
      <x:c r="P201" s="35" t="str">
        <x:v>Initial import from Clearing vacancies and ER page for 2026.docx</x:v>
      </x:c>
      <x:c r="Q201" s="36" t="str">
        <x:f>IF(A201="","Missing ID",IF(COUNTIF($A$5:$A$1000,A201)&gt;1,"Duplicate ID",IF(C201="","Missing title",IF(D201="","Missing type",IF(E201="","Missing availability",IF(H201="","Missing offer",IF(L201="","Missing course URL",IF(ISERROR(SEARCH("https://www.keele.ac.uk/",L201)),"Non-Keele URL",IF(AND(D201="Foundation year",ISERROR(SEARCH("#foundationyear",L201))),"FY URL missing #foundationyear",IF(M201="","Missing display status",IF(N201="","Missing review date",IF(O201="","Missing owner",IF(P201="","Missing change note","OK")))))))))))))</x:f>
        <x:v>OK</x:v>
      </x:c>
    </x:row>
    <x:row r="202">
      <x:c r="A202" s="33" t="str">
        <x:v>2026-geographywithbusinessmanagementwithintegratedmasters-FY</x:v>
      </x:c>
      <x:c r="B202" s="37" t="n">
        <x:v>2026</x:v>
      </x:c>
      <x:c r="C202" s="35" t="str">
        <x:v>Geography with Business Management with Integrated Master's with Foundation Year</x:v>
      </x:c>
      <x:c r="D202" s="33" t="str">
        <x:v>Foundation year</x:v>
      </x:c>
      <x:c r="E202" s="33" t="str">
        <x:v>Vacancies</x:v>
      </x:c>
      <x:c r="F202" s="33" t="str"/>
      <x:c r="G202" s="33" t="str"/>
      <x:c r="H202" s="35" t="str">
        <x:v>Course-specific</x:v>
      </x:c>
      <x:c r="I202" s="35" t="str">
        <x:v>No</x:v>
      </x:c>
      <x:c r="J202" s="35" t="str">
        <x:v>Foundation Year requirements vary by course. View the full course details or call 01782 491120 to discuss your qualifications.</x:v>
      </x:c>
      <x:c r="K202" s="35" t="str">
        <x:v>https://www.keele.ac.uk/clearing/entry-requirements/</x:v>
      </x:c>
      <x:c r="L202" s="35" t="str">
        <x:v>https://www.keele.ac.uk/study/undergraduate-2026/undergraduatecourses/geographywithbusinessmanagementwithintegratedmasters/#foundationyear</x:v>
      </x:c>
      <x:c r="M202" s="33" t="str">
        <x:v>Yes</x:v>
      </x:c>
      <x:c r="N202" s="38" t="n">
        <x:v>46195</x:v>
      </x:c>
      <x:c r="O202" s="35" t="str">
        <x:v>Clearing content team</x:v>
      </x:c>
      <x:c r="P202" s="35" t="str">
        <x:v>Initial import from Clearing vacancies and ER page for 2026.docx</x:v>
      </x:c>
      <x:c r="Q202" s="36" t="str">
        <x:f>IF(A202="","Missing ID",IF(COUNTIF($A$5:$A$1000,A202)&gt;1,"Duplicate ID",IF(C202="","Missing title",IF(D202="","Missing type",IF(E202="","Missing availability",IF(H202="","Missing offer",IF(L202="","Missing course URL",IF(ISERROR(SEARCH("https://www.keele.ac.uk/",L202)),"Non-Keele URL",IF(AND(D202="Foundation year",ISERROR(SEARCH("#foundationyear",L202))),"FY URL missing #foundationyear",IF(M202="","Missing display status",IF(N202="","Missing review date",IF(O202="","Missing owner",IF(P202="","Missing change note","OK")))))))))))))</x:f>
        <x:v>OK</x:v>
      </x:c>
    </x:row>
    <x:row r="203">
      <x:c r="A203" s="33" t="str">
        <x:v>2026-F600-UG</x:v>
      </x:c>
      <x:c r="B203" s="37" t="n">
        <x:v>2026</x:v>
      </x:c>
      <x:c r="C203" s="35" t="str">
        <x:v>Geology</x:v>
      </x:c>
      <x:c r="D203" s="33" t="str">
        <x:v>Undergraduate</x:v>
      </x:c>
      <x:c r="E203" s="33" t="str">
        <x:v>Vacancies</x:v>
      </x:c>
      <x:c r="F203" s="33" t="str">
        <x:v>F600</x:v>
      </x:c>
      <x:c r="G203" s="33" t="str">
        <x:v>BSc (Hons)</x:v>
      </x:c>
      <x:c r="H203" s="35" t="str">
        <x:v>64 UCAS tariff points</x:v>
      </x:c>
      <x:c r="I203" s="35" t="str">
        <x:v>No</x:v>
      </x:c>
      <x:c r="J203" s="35" t="str">
        <x:v>Most undergraduate courses require GCSE English Language at grade 4/C or equivalent. Some courses also require GCSE Mathematics at grade 4/C or equivalent.</x:v>
      </x:c>
      <x:c r="K203" s="35" t="str">
        <x:v>https://www.keele.ac.uk/clearing/entry-requirements/</x:v>
      </x:c>
      <x:c r="L203" s="35" t="str">
        <x:v>https://www.keele.ac.uk/study/undergraduate-2026/undergraduatecourses/geology/</x:v>
      </x:c>
      <x:c r="M203" s="33" t="str">
        <x:v>Yes</x:v>
      </x:c>
      <x:c r="N203" s="38" t="n">
        <x:v>46195</x:v>
      </x:c>
      <x:c r="O203" s="35" t="str">
        <x:v>Clearing content team</x:v>
      </x:c>
      <x:c r="P203" s="35" t="str">
        <x:v>Initial import from Clearing vacancies and ER page for 2026.docx</x:v>
      </x:c>
      <x:c r="Q203" s="36" t="str">
        <x:f>IF(A203="","Missing ID",IF(COUNTIF($A$5:$A$1000,A203)&gt;1,"Duplicate ID",IF(C203="","Missing title",IF(D203="","Missing type",IF(E203="","Missing availability",IF(H203="","Missing offer",IF(L203="","Missing course URL",IF(ISERROR(SEARCH("https://www.keele.ac.uk/",L203)),"Non-Keele URL",IF(AND(D203="Foundation year",ISERROR(SEARCH("#foundationyear",L203))),"FY URL missing #foundationyear",IF(M203="","Missing display status",IF(N203="","Missing review date",IF(O203="","Missing owner",IF(P203="","Missing change note","OK")))))))))))))</x:f>
        <x:v>OK</x:v>
      </x:c>
    </x:row>
    <x:row r="204">
      <x:c r="A204" s="33" t="str">
        <x:v>2026-F660-UG</x:v>
      </x:c>
      <x:c r="B204" s="37" t="n">
        <x:v>2026</x:v>
      </x:c>
      <x:c r="C204" s="35" t="str">
        <x:v>Geology (Applied Geophysics)</x:v>
      </x:c>
      <x:c r="D204" s="33" t="str">
        <x:v>Undergraduate</x:v>
      </x:c>
      <x:c r="E204" s="33" t="str">
        <x:v>Vacancies</x:v>
      </x:c>
      <x:c r="F204" s="33" t="str">
        <x:v>F660</x:v>
      </x:c>
      <x:c r="G204" s="33" t="str">
        <x:v>BSc (Hons)</x:v>
      </x:c>
      <x:c r="H204" s="35" t="str">
        <x:v>64 UCAS tariff points</x:v>
      </x:c>
      <x:c r="I204" s="35" t="str">
        <x:v>No</x:v>
      </x:c>
      <x:c r="J204" s="35" t="str">
        <x:v>Most undergraduate courses require GCSE English Language at grade 4/C or equivalent. Some courses also require GCSE Mathematics at grade 4/C or equivalent.</x:v>
      </x:c>
      <x:c r="K204" s="35" t="str">
        <x:v>https://www.keele.ac.uk/clearing/entry-requirements/</x:v>
      </x:c>
      <x:c r="L204" s="35" t="str">
        <x:v>https://www.keele.ac.uk/study/undergraduate-2026/undergraduatecourses/geologyappliedgeophysics/</x:v>
      </x:c>
      <x:c r="M204" s="33" t="str">
        <x:v>Yes</x:v>
      </x:c>
      <x:c r="N204" s="38" t="n">
        <x:v>46195</x:v>
      </x:c>
      <x:c r="O204" s="35" t="str">
        <x:v>Clearing content team</x:v>
      </x:c>
      <x:c r="P204" s="35" t="str">
        <x:v>Initial import from Clearing vacancies and ER page for 2026.docx</x:v>
      </x:c>
      <x:c r="Q204" s="36" t="str">
        <x:f>IF(A204="","Missing ID",IF(COUNTIF($A$5:$A$1000,A204)&gt;1,"Duplicate ID",IF(C204="","Missing title",IF(D204="","Missing type",IF(E204="","Missing availability",IF(H204="","Missing offer",IF(L204="","Missing course URL",IF(ISERROR(SEARCH("https://www.keele.ac.uk/",L204)),"Non-Keele URL",IF(AND(D204="Foundation year",ISERROR(SEARCH("#foundationyear",L204))),"FY URL missing #foundationyear",IF(M204="","Missing display status",IF(N204="","Missing review date",IF(O204="","Missing owner",IF(P204="","Missing change note","OK")))))))))))))</x:f>
        <x:v>OK</x:v>
      </x:c>
    </x:row>
    <x:row r="205">
      <x:c r="A205" s="33" t="str">
        <x:v>2026-geologyappliedgeophysics-FY</x:v>
      </x:c>
      <x:c r="B205" s="37" t="n">
        <x:v>2026</x:v>
      </x:c>
      <x:c r="C205" s="35" t="str">
        <x:v>Geology (Applied Geophysics) with Foundation Year</x:v>
      </x:c>
      <x:c r="D205" s="33" t="str">
        <x:v>Foundation year</x:v>
      </x:c>
      <x:c r="E205" s="33" t="str">
        <x:v>Vacancies</x:v>
      </x:c>
      <x:c r="F205" s="33" t="str"/>
      <x:c r="G205" s="33" t="str"/>
      <x:c r="H205" s="35" t="str">
        <x:v>Course-specific</x:v>
      </x:c>
      <x:c r="I205" s="35" t="str">
        <x:v>No</x:v>
      </x:c>
      <x:c r="J205" s="35" t="str">
        <x:v>Foundation Year requirements vary by course. View the full course details or call 01782 491120 to discuss your qualifications.</x:v>
      </x:c>
      <x:c r="K205" s="35" t="str">
        <x:v>https://www.keele.ac.uk/clearing/entry-requirements/</x:v>
      </x:c>
      <x:c r="L205" s="35" t="str">
        <x:v>https://www.keele.ac.uk/study/undergraduate-2026/undergraduatecourses/geologyappliedgeophysics/#foundationyear</x:v>
      </x:c>
      <x:c r="M205" s="33" t="str">
        <x:v>Yes</x:v>
      </x:c>
      <x:c r="N205" s="38" t="n">
        <x:v>46195</x:v>
      </x:c>
      <x:c r="O205" s="35" t="str">
        <x:v>Clearing content team</x:v>
      </x:c>
      <x:c r="P205" s="35" t="str">
        <x:v>Initial import from Clearing vacancies and ER page for 2026.docx</x:v>
      </x:c>
      <x:c r="Q205" s="36" t="str">
        <x:f>IF(A205="","Missing ID",IF(COUNTIF($A$5:$A$1000,A205)&gt;1,"Duplicate ID",IF(C205="","Missing title",IF(D205="","Missing type",IF(E205="","Missing availability",IF(H205="","Missing offer",IF(L205="","Missing course URL",IF(ISERROR(SEARCH("https://www.keele.ac.uk/",L205)),"Non-Keele URL",IF(AND(D205="Foundation year",ISERROR(SEARCH("#foundationyear",L205))),"FY URL missing #foundationyear",IF(M205="","Missing display status",IF(N205="","Missing review date",IF(O205="","Missing owner",IF(P205="","Missing change note","OK")))))))))))))</x:f>
        <x:v>OK</x:v>
      </x:c>
    </x:row>
    <x:row r="206">
      <x:c r="A206" s="33" t="str">
        <x:v>2026-F630-UG</x:v>
      </x:c>
      <x:c r="B206" s="37" t="n">
        <x:v>2026</x:v>
      </x:c>
      <x:c r="C206" s="35" t="str">
        <x:v>Geology (Environmental Geoscience)</x:v>
      </x:c>
      <x:c r="D206" s="33" t="str">
        <x:v>Undergraduate</x:v>
      </x:c>
      <x:c r="E206" s="33" t="str">
        <x:v>Vacancies</x:v>
      </x:c>
      <x:c r="F206" s="33" t="str">
        <x:v>F630</x:v>
      </x:c>
      <x:c r="G206" s="33" t="str">
        <x:v>BSc (Hons)</x:v>
      </x:c>
      <x:c r="H206" s="35" t="str">
        <x:v>64 UCAS tariff points</x:v>
      </x:c>
      <x:c r="I206" s="35" t="str">
        <x:v>No</x:v>
      </x:c>
      <x:c r="J206" s="35" t="str">
        <x:v>Most undergraduate courses require GCSE English Language at grade 4/C or equivalent. Some courses also require GCSE Mathematics at grade 4/C or equivalent.</x:v>
      </x:c>
      <x:c r="K206" s="35" t="str">
        <x:v>https://www.keele.ac.uk/clearing/entry-requirements/</x:v>
      </x:c>
      <x:c r="L206" s="35" t="str">
        <x:v>https://www.keele.ac.uk/study/undergraduate-2026/undergraduatecourses/geologyenvironmentalgeoscience/</x:v>
      </x:c>
      <x:c r="M206" s="33" t="str">
        <x:v>Yes</x:v>
      </x:c>
      <x:c r="N206" s="38" t="n">
        <x:v>46195</x:v>
      </x:c>
      <x:c r="O206" s="35" t="str">
        <x:v>Clearing content team</x:v>
      </x:c>
      <x:c r="P206" s="35" t="str">
        <x:v>Initial import from Clearing vacancies and ER page for 2026.docx</x:v>
      </x:c>
      <x:c r="Q206" s="36" t="str">
        <x:f>IF(A206="","Missing ID",IF(COUNTIF($A$5:$A$1000,A206)&gt;1,"Duplicate ID",IF(C206="","Missing title",IF(D206="","Missing type",IF(E206="","Missing availability",IF(H206="","Missing offer",IF(L206="","Missing course URL",IF(ISERROR(SEARCH("https://www.keele.ac.uk/",L206)),"Non-Keele URL",IF(AND(D206="Foundation year",ISERROR(SEARCH("#foundationyear",L206))),"FY URL missing #foundationyear",IF(M206="","Missing display status",IF(N206="","Missing review date",IF(O206="","Missing owner",IF(P206="","Missing change note","OK")))))))))))))</x:f>
        <x:v>OK</x:v>
      </x:c>
    </x:row>
    <x:row r="207">
      <x:c r="A207" s="33" t="str">
        <x:v>2026-geologyenvironmentalgeoscience-FY</x:v>
      </x:c>
      <x:c r="B207" s="37" t="n">
        <x:v>2026</x:v>
      </x:c>
      <x:c r="C207" s="35" t="str">
        <x:v>Geology (Environmental Geoscience) with Foundation Year</x:v>
      </x:c>
      <x:c r="D207" s="33" t="str">
        <x:v>Foundation year</x:v>
      </x:c>
      <x:c r="E207" s="33" t="str">
        <x:v>Vacancies</x:v>
      </x:c>
      <x:c r="F207" s="33" t="str"/>
      <x:c r="G207" s="33" t="str"/>
      <x:c r="H207" s="35" t="str">
        <x:v>Course-specific</x:v>
      </x:c>
      <x:c r="I207" s="35" t="str">
        <x:v>No</x:v>
      </x:c>
      <x:c r="J207" s="35" t="str">
        <x:v>Foundation Year requirements vary by course. View the full course details or call 01782 491120 to discuss your qualifications.</x:v>
      </x:c>
      <x:c r="K207" s="35" t="str">
        <x:v>https://www.keele.ac.uk/clearing/entry-requirements/</x:v>
      </x:c>
      <x:c r="L207" s="35" t="str">
        <x:v>https://www.keele.ac.uk/study/undergraduate-2026/undergraduatecourses/geologyenvironmentalgeoscience/#foundationyear</x:v>
      </x:c>
      <x:c r="M207" s="33" t="str">
        <x:v>Yes</x:v>
      </x:c>
      <x:c r="N207" s="38" t="n">
        <x:v>46195</x:v>
      </x:c>
      <x:c r="O207" s="35" t="str">
        <x:v>Clearing content team</x:v>
      </x:c>
      <x:c r="P207" s="35" t="str">
        <x:v>Initial import from Clearing vacancies and ER page for 2026.docx</x:v>
      </x:c>
      <x:c r="Q207" s="36" t="str">
        <x:f>IF(A207="","Missing ID",IF(COUNTIF($A$5:$A$1000,A207)&gt;1,"Duplicate ID",IF(C207="","Missing title",IF(D207="","Missing type",IF(E207="","Missing availability",IF(H207="","Missing offer",IF(L207="","Missing course URL",IF(ISERROR(SEARCH("https://www.keele.ac.uk/",L207)),"Non-Keele URL",IF(AND(D207="Foundation year",ISERROR(SEARCH("#foundationyear",L207))),"FY URL missing #foundationyear",IF(M207="","Missing display status",IF(N207="","Missing review date",IF(O207="","Missing owner",IF(P207="","Missing change note","OK")))))))))))))</x:f>
        <x:v>OK</x:v>
      </x:c>
    </x:row>
    <x:row r="208">
      <x:c r="A208" s="33" t="str">
        <x:v>2026-F650-UG</x:v>
      </x:c>
      <x:c r="B208" s="37" t="n">
        <x:v>2026</x:v>
      </x:c>
      <x:c r="C208" s="35" t="str">
        <x:v>Geology (Volcanology)</x:v>
      </x:c>
      <x:c r="D208" s="33" t="str">
        <x:v>Undergraduate</x:v>
      </x:c>
      <x:c r="E208" s="33" t="str">
        <x:v>Vacancies</x:v>
      </x:c>
      <x:c r="F208" s="33" t="str">
        <x:v>F650</x:v>
      </x:c>
      <x:c r="G208" s="33" t="str">
        <x:v>BSc (Hons)</x:v>
      </x:c>
      <x:c r="H208" s="35" t="str">
        <x:v>64 UCAS tariff points</x:v>
      </x:c>
      <x:c r="I208" s="35" t="str">
        <x:v>No</x:v>
      </x:c>
      <x:c r="J208" s="35" t="str">
        <x:v>Most undergraduate courses require GCSE English Language at grade 4/C or equivalent. Some courses also require GCSE Mathematics at grade 4/C or equivalent.</x:v>
      </x:c>
      <x:c r="K208" s="35" t="str">
        <x:v>https://www.keele.ac.uk/clearing/entry-requirements/</x:v>
      </x:c>
      <x:c r="L208" s="35" t="str">
        <x:v>https://www.keele.ac.uk/study/undergraduate-2026/undergraduatecourses/geologyvolcanology/</x:v>
      </x:c>
      <x:c r="M208" s="33" t="str">
        <x:v>Yes</x:v>
      </x:c>
      <x:c r="N208" s="38" t="n">
        <x:v>46195</x:v>
      </x:c>
      <x:c r="O208" s="35" t="str">
        <x:v>Clearing content team</x:v>
      </x:c>
      <x:c r="P208" s="35" t="str">
        <x:v>Initial import from Clearing vacancies and ER page for 2026.docx</x:v>
      </x:c>
      <x:c r="Q208" s="36" t="str">
        <x:f>IF(A208="","Missing ID",IF(COUNTIF($A$5:$A$1000,A208)&gt;1,"Duplicate ID",IF(C208="","Missing title",IF(D208="","Missing type",IF(E208="","Missing availability",IF(H208="","Missing offer",IF(L208="","Missing course URL",IF(ISERROR(SEARCH("https://www.keele.ac.uk/",L208)),"Non-Keele URL",IF(AND(D208="Foundation year",ISERROR(SEARCH("#foundationyear",L208))),"FY URL missing #foundationyear",IF(M208="","Missing display status",IF(N208="","Missing review date",IF(O208="","Missing owner",IF(P208="","Missing change note","OK")))))))))))))</x:f>
        <x:v>OK</x:v>
      </x:c>
    </x:row>
    <x:row r="209">
      <x:c r="A209" s="33" t="str">
        <x:v>2026-geologyvolcanology-FY</x:v>
      </x:c>
      <x:c r="B209" s="37" t="n">
        <x:v>2026</x:v>
      </x:c>
      <x:c r="C209" s="35" t="str">
        <x:v>Geology (Volcanology) with Foundation Year</x:v>
      </x:c>
      <x:c r="D209" s="33" t="str">
        <x:v>Foundation year</x:v>
      </x:c>
      <x:c r="E209" s="33" t="str">
        <x:v>Vacancies</x:v>
      </x:c>
      <x:c r="F209" s="33" t="str"/>
      <x:c r="G209" s="33" t="str"/>
      <x:c r="H209" s="35" t="str">
        <x:v>Course-specific</x:v>
      </x:c>
      <x:c r="I209" s="35" t="str">
        <x:v>No</x:v>
      </x:c>
      <x:c r="J209" s="35" t="str">
        <x:v>Foundation Year requirements vary by course. View the full course details or call 01782 491120 to discuss your qualifications.</x:v>
      </x:c>
      <x:c r="K209" s="35" t="str">
        <x:v>https://www.keele.ac.uk/clearing/entry-requirements/</x:v>
      </x:c>
      <x:c r="L209" s="35" t="str">
        <x:v>https://www.keele.ac.uk/study/undergraduate-2026/undergraduatecourses/geologyvolcanology/#foundationyear</x:v>
      </x:c>
      <x:c r="M209" s="33" t="str">
        <x:v>Yes</x:v>
      </x:c>
      <x:c r="N209" s="38" t="n">
        <x:v>46195</x:v>
      </x:c>
      <x:c r="O209" s="35" t="str">
        <x:v>Clearing content team</x:v>
      </x:c>
      <x:c r="P209" s="35" t="str">
        <x:v>Initial import from Clearing vacancies and ER page for 2026.docx</x:v>
      </x:c>
      <x:c r="Q209" s="36" t="str">
        <x:f>IF(A209="","Missing ID",IF(COUNTIF($A$5:$A$1000,A209)&gt;1,"Duplicate ID",IF(C209="","Missing title",IF(D209="","Missing type",IF(E209="","Missing availability",IF(H209="","Missing offer",IF(L209="","Missing course URL",IF(ISERROR(SEARCH("https://www.keele.ac.uk/",L209)),"Non-Keele URL",IF(AND(D209="Foundation year",ISERROR(SEARCH("#foundationyear",L209))),"FY URL missing #foundationyear",IF(M209="","Missing display status",IF(N209="","Missing review date",IF(O209="","Missing owner",IF(P209="","Missing change note","OK")))))))))))))</x:f>
        <x:v>OK</x:v>
      </x:c>
    </x:row>
    <x:row r="210">
      <x:c r="A210" s="33" t="str">
        <x:v>2026-FF68-UG</x:v>
      </x:c>
      <x:c r="B210" s="37" t="n">
        <x:v>2026</x:v>
      </x:c>
      <x:c r="C210" s="35" t="str">
        <x:v>Geology and Physical Geography</x:v>
      </x:c>
      <x:c r="D210" s="33" t="str">
        <x:v>Undergraduate</x:v>
      </x:c>
      <x:c r="E210" s="33" t="str">
        <x:v>Vacancies</x:v>
      </x:c>
      <x:c r="F210" s="33" t="str">
        <x:v>FF68</x:v>
      </x:c>
      <x:c r="G210" s="33" t="str">
        <x:v>BSc (Hons)</x:v>
      </x:c>
      <x:c r="H210" s="35" t="str">
        <x:v>64 UCAS tariff points</x:v>
      </x:c>
      <x:c r="I210" s="35" t="str">
        <x:v>No</x:v>
      </x:c>
      <x:c r="J210" s="35" t="str">
        <x:v>Most undergraduate courses require GCSE English Language at grade 4/C or equivalent. Some courses also require GCSE Mathematics at grade 4/C or equivalent.</x:v>
      </x:c>
      <x:c r="K210" s="35" t="str">
        <x:v>https://www.keele.ac.uk/clearing/entry-requirements/</x:v>
      </x:c>
      <x:c r="L210" s="35" t="str">
        <x:v>https://www.keele.ac.uk/study/undergraduate-2026/undergraduatecourses/geologyandphysicalgeography/</x:v>
      </x:c>
      <x:c r="M210" s="33" t="str">
        <x:v>Yes</x:v>
      </x:c>
      <x:c r="N210" s="38" t="n">
        <x:v>46195</x:v>
      </x:c>
      <x:c r="O210" s="35" t="str">
        <x:v>Clearing content team</x:v>
      </x:c>
      <x:c r="P210" s="35" t="str">
        <x:v>Initial import from Clearing vacancies and ER page for 2026.docx</x:v>
      </x:c>
      <x:c r="Q210" s="36" t="str">
        <x:f>IF(A210="","Missing ID",IF(COUNTIF($A$5:$A$1000,A210)&gt;1,"Duplicate ID",IF(C210="","Missing title",IF(D210="","Missing type",IF(E210="","Missing availability",IF(H210="","Missing offer",IF(L210="","Missing course URL",IF(ISERROR(SEARCH("https://www.keele.ac.uk/",L210)),"Non-Keele URL",IF(AND(D210="Foundation year",ISERROR(SEARCH("#foundationyear",L210))),"FY URL missing #foundationyear",IF(M210="","Missing display status",IF(N210="","Missing review date",IF(O210="","Missing owner",IF(P210="","Missing change note","OK")))))))))))))</x:f>
        <x:v>OK</x:v>
      </x:c>
    </x:row>
    <x:row r="211">
      <x:c r="A211" s="33" t="str">
        <x:v>2026-geologyandphysicalgeography-FY</x:v>
      </x:c>
      <x:c r="B211" s="37" t="n">
        <x:v>2026</x:v>
      </x:c>
      <x:c r="C211" s="35" t="str">
        <x:v>Geology and Physical Geography with Foundation Year</x:v>
      </x:c>
      <x:c r="D211" s="33" t="str">
        <x:v>Foundation year</x:v>
      </x:c>
      <x:c r="E211" s="33" t="str">
        <x:v>Vacancies</x:v>
      </x:c>
      <x:c r="F211" s="33" t="str"/>
      <x:c r="G211" s="33" t="str"/>
      <x:c r="H211" s="35" t="str">
        <x:v>Course-specific</x:v>
      </x:c>
      <x:c r="I211" s="35" t="str">
        <x:v>No</x:v>
      </x:c>
      <x:c r="J211" s="35" t="str">
        <x:v>Foundation Year requirements vary by course. View the full course details or call 01782 491120 to discuss your qualifications.</x:v>
      </x:c>
      <x:c r="K211" s="35" t="str">
        <x:v>https://www.keele.ac.uk/clearing/entry-requirements/</x:v>
      </x:c>
      <x:c r="L211" s="35" t="str">
        <x:v>https://www.keele.ac.uk/study/undergraduate-2026/undergraduatecourses/geologyandphysicalgeography/#foundationyear</x:v>
      </x:c>
      <x:c r="M211" s="33" t="str">
        <x:v>Yes</x:v>
      </x:c>
      <x:c r="N211" s="38" t="n">
        <x:v>46195</x:v>
      </x:c>
      <x:c r="O211" s="35" t="str">
        <x:v>Clearing content team</x:v>
      </x:c>
      <x:c r="P211" s="35" t="str">
        <x:v>Initial import from Clearing vacancies and ER page for 2026.docx</x:v>
      </x:c>
      <x:c r="Q211" s="36" t="str">
        <x:f>IF(A211="","Missing ID",IF(COUNTIF($A$5:$A$1000,A211)&gt;1,"Duplicate ID",IF(C211="","Missing title",IF(D211="","Missing type",IF(E211="","Missing availability",IF(H211="","Missing offer",IF(L211="","Missing course URL",IF(ISERROR(SEARCH("https://www.keele.ac.uk/",L211)),"Non-Keele URL",IF(AND(D211="Foundation year",ISERROR(SEARCH("#foundationyear",L211))),"FY URL missing #foundationyear",IF(M211="","Missing display status",IF(N211="","Missing review date",IF(O211="","Missing owner",IF(P211="","Missing change note","OK")))))))))))))</x:f>
        <x:v>OK</x:v>
      </x:c>
    </x:row>
    <x:row r="212">
      <x:c r="A212" s="33" t="str">
        <x:v>2026-geology-FY</x:v>
      </x:c>
      <x:c r="B212" s="37" t="n">
        <x:v>2026</x:v>
      </x:c>
      <x:c r="C212" s="35" t="str">
        <x:v>Geology with Foundation Year</x:v>
      </x:c>
      <x:c r="D212" s="33" t="str">
        <x:v>Foundation year</x:v>
      </x:c>
      <x:c r="E212" s="33" t="str">
        <x:v>Vacancies</x:v>
      </x:c>
      <x:c r="F212" s="33" t="str"/>
      <x:c r="G212" s="33" t="str"/>
      <x:c r="H212" s="35" t="str">
        <x:v>Course-specific</x:v>
      </x:c>
      <x:c r="I212" s="35" t="str">
        <x:v>No</x:v>
      </x:c>
      <x:c r="J212" s="35" t="str">
        <x:v>Foundation Year requirements vary by course. View the full course details or call 01782 491120 to discuss your qualifications.</x:v>
      </x:c>
      <x:c r="K212" s="35" t="str">
        <x:v>https://www.keele.ac.uk/clearing/entry-requirements/</x:v>
      </x:c>
      <x:c r="L212" s="35" t="str">
        <x:v>https://www.keele.ac.uk/study/undergraduate-2026/undergraduatecourses/geology/#foundationyear</x:v>
      </x:c>
      <x:c r="M212" s="33" t="str">
        <x:v>Yes</x:v>
      </x:c>
      <x:c r="N212" s="38" t="n">
        <x:v>46195</x:v>
      </x:c>
      <x:c r="O212" s="35" t="str">
        <x:v>Clearing content team</x:v>
      </x:c>
      <x:c r="P212" s="35" t="str">
        <x:v>Initial import from Clearing vacancies and ER page for 2026.docx</x:v>
      </x:c>
      <x:c r="Q212" s="36" t="str">
        <x:f>IF(A212="","Missing ID",IF(COUNTIF($A$5:$A$1000,A212)&gt;1,"Duplicate ID",IF(C212="","Missing title",IF(D212="","Missing type",IF(E212="","Missing availability",IF(H212="","Missing offer",IF(L212="","Missing course URL",IF(ISERROR(SEARCH("https://www.keele.ac.uk/",L212)),"Non-Keele URL",IF(AND(D212="Foundation year",ISERROR(SEARCH("#foundationyear",L212))),"FY URL missing #foundationyear",IF(M212="","Missing display status",IF(N212="","Missing review date",IF(O212="","Missing owner",IF(P212="","Missing change note","OK")))))))))))))</x:f>
        <x:v>OK</x:v>
      </x:c>
    </x:row>
    <x:row r="213">
      <x:c r="A213" s="33" t="str">
        <x:v>2026-L550-UG</x:v>
      </x:c>
      <x:c r="B213" s="37" t="n">
        <x:v>2026</x:v>
      </x:c>
      <x:c r="C213" s="35" t="str">
        <x:v>Health and Social Care</x:v>
      </x:c>
      <x:c r="D213" s="33" t="str">
        <x:v>Undergraduate</x:v>
      </x:c>
      <x:c r="E213" s="33" t="str">
        <x:v>Vacancies</x:v>
      </x:c>
      <x:c r="F213" s="33" t="str">
        <x:v>L550</x:v>
      </x:c>
      <x:c r="G213" s="33" t="str">
        <x:v>BSc (Hons)</x:v>
      </x:c>
      <x:c r="H213" s="35" t="str">
        <x:v>64 UCAS tariff points</x:v>
      </x:c>
      <x:c r="I213" s="35" t="str">
        <x:v>No</x:v>
      </x:c>
      <x:c r="J213" s="35" t="str">
        <x:v>Most undergraduate courses require GCSE English Language at grade 4/C or equivalent. Some courses also require GCSE Mathematics at grade 4/C or equivalent.</x:v>
      </x:c>
      <x:c r="K213" s="35" t="str">
        <x:v>https://www.keele.ac.uk/clearing/entry-requirements/</x:v>
      </x:c>
      <x:c r="L213" s="35" t="str">
        <x:v>https://www.keele.ac.uk/study/undergraduate-2026/undergraduatecourses/health-and-social-care/</x:v>
      </x:c>
      <x:c r="M213" s="33" t="str">
        <x:v>Yes</x:v>
      </x:c>
      <x:c r="N213" s="38" t="n">
        <x:v>46195</x:v>
      </x:c>
      <x:c r="O213" s="35" t="str">
        <x:v>Clearing content team</x:v>
      </x:c>
      <x:c r="P213" s="35" t="str">
        <x:v>Initial import from Clearing vacancies and ER page for 2026.docx</x:v>
      </x:c>
      <x:c r="Q213" s="36" t="str">
        <x:f>IF(A213="","Missing ID",IF(COUNTIF($A$5:$A$1000,A213)&gt;1,"Duplicate ID",IF(C213="","Missing title",IF(D213="","Missing type",IF(E213="","Missing availability",IF(H213="","Missing offer",IF(L213="","Missing course URL",IF(ISERROR(SEARCH("https://www.keele.ac.uk/",L213)),"Non-Keele URL",IF(AND(D213="Foundation year",ISERROR(SEARCH("#foundationyear",L213))),"FY URL missing #foundationyear",IF(M213="","Missing display status",IF(N213="","Missing review date",IF(O213="","Missing owner",IF(P213="","Missing change note","OK")))))))))))))</x:f>
        <x:v>OK</x:v>
      </x:c>
    </x:row>
    <x:row r="214">
      <x:c r="A214" s="33" t="str">
        <x:v>2026-health-and-social-care-FY</x:v>
      </x:c>
      <x:c r="B214" s="37" t="n">
        <x:v>2026</x:v>
      </x:c>
      <x:c r="C214" s="35" t="str">
        <x:v>Health and Social Care with Foundation Year</x:v>
      </x:c>
      <x:c r="D214" s="33" t="str">
        <x:v>Foundation year</x:v>
      </x:c>
      <x:c r="E214" s="33" t="str">
        <x:v>Vacancies</x:v>
      </x:c>
      <x:c r="F214" s="33" t="str"/>
      <x:c r="G214" s="33" t="str"/>
      <x:c r="H214" s="35" t="str">
        <x:v>Course-specific</x:v>
      </x:c>
      <x:c r="I214" s="35" t="str">
        <x:v>No</x:v>
      </x:c>
      <x:c r="J214" s="35" t="str">
        <x:v>Foundation Year requirements vary by course. View the full course details or call 01782 491120 to discuss your qualifications.</x:v>
      </x:c>
      <x:c r="K214" s="35" t="str">
        <x:v>https://www.keele.ac.uk/clearing/entry-requirements/</x:v>
      </x:c>
      <x:c r="L214" s="35" t="str">
        <x:v>https://www.keele.ac.uk/study/undergraduate-2026/undergraduatecourses/health-and-social-care/#foundationyear</x:v>
      </x:c>
      <x:c r="M214" s="33" t="str">
        <x:v>Yes</x:v>
      </x:c>
      <x:c r="N214" s="38" t="n">
        <x:v>46195</x:v>
      </x:c>
      <x:c r="O214" s="35" t="str">
        <x:v>Clearing content team</x:v>
      </x:c>
      <x:c r="P214" s="35" t="str">
        <x:v>Initial import from Clearing vacancies and ER page for 2026.docx</x:v>
      </x:c>
      <x:c r="Q214" s="36" t="str">
        <x:f>IF(A214="","Missing ID",IF(COUNTIF($A$5:$A$1000,A214)&gt;1,"Duplicate ID",IF(C214="","Missing title",IF(D214="","Missing type",IF(E214="","Missing availability",IF(H214="","Missing offer",IF(L214="","Missing course URL",IF(ISERROR(SEARCH("https://www.keele.ac.uk/",L214)),"Non-Keele URL",IF(AND(D214="Foundation year",ISERROR(SEARCH("#foundationyear",L214))),"FY URL missing #foundationyear",IF(M214="","Missing display status",IF(N214="","Missing review date",IF(O214="","Missing owner",IF(P214="","Missing change note","OK")))))))))))))</x:f>
        <x:v>OK</x:v>
      </x:c>
    </x:row>
    <x:row r="215">
      <x:c r="A215" s="33" t="str">
        <x:v>2026-V101-UG</x:v>
      </x:c>
      <x:c r="B215" s="37" t="n">
        <x:v>2026</x:v>
      </x:c>
      <x:c r="C215" s="35" t="str">
        <x:v>History</x:v>
      </x:c>
      <x:c r="D215" s="33" t="str">
        <x:v>Undergraduate</x:v>
      </x:c>
      <x:c r="E215" s="33" t="str">
        <x:v>Vacancies</x:v>
      </x:c>
      <x:c r="F215" s="33" t="str">
        <x:v>V101</x:v>
      </x:c>
      <x:c r="G215" s="33" t="str">
        <x:v>BA (Hons)</x:v>
      </x:c>
      <x:c r="H215" s="35" t="str">
        <x:v>64 UCAS tariff points</x:v>
      </x:c>
      <x:c r="I215" s="35" t="str">
        <x:v>No</x:v>
      </x:c>
      <x:c r="J215" s="35" t="str">
        <x:v>Most undergraduate courses require GCSE English Language at grade 4/C or equivalent. Some courses also require GCSE Mathematics at grade 4/C or equivalent.</x:v>
      </x:c>
      <x:c r="K215" s="35" t="str">
        <x:v>https://www.keele.ac.uk/clearing/entry-requirements/</x:v>
      </x:c>
      <x:c r="L215" s="35" t="str">
        <x:v>https://www.keele.ac.uk/study/undergraduate-2026/undergraduatecourses/history/</x:v>
      </x:c>
      <x:c r="M215" s="33" t="str">
        <x:v>Yes</x:v>
      </x:c>
      <x:c r="N215" s="38" t="n">
        <x:v>46195</x:v>
      </x:c>
      <x:c r="O215" s="35" t="str">
        <x:v>Clearing content team</x:v>
      </x:c>
      <x:c r="P215" s="35" t="str">
        <x:v>Initial import from Clearing vacancies and ER page for 2026.docx</x:v>
      </x:c>
      <x:c r="Q215" s="36" t="str">
        <x:f>IF(A215="","Missing ID",IF(COUNTIF($A$5:$A$1000,A215)&gt;1,"Duplicate ID",IF(C215="","Missing title",IF(D215="","Missing type",IF(E215="","Missing availability",IF(H215="","Missing offer",IF(L215="","Missing course URL",IF(ISERROR(SEARCH("https://www.keele.ac.uk/",L215)),"Non-Keele URL",IF(AND(D215="Foundation year",ISERROR(SEARCH("#foundationyear",L215))),"FY URL missing #foundationyear",IF(M215="","Missing display status",IF(N215="","Missing review date",IF(O215="","Missing owner",IF(P215="","Missing change note","OK")))))))))))))</x:f>
        <x:v>OK</x:v>
      </x:c>
    </x:row>
    <x:row r="216">
      <x:c r="A216" s="33" t="str">
        <x:v>2026-V1X3-UG</x:v>
      </x:c>
      <x:c r="B216" s="37" t="n">
        <x:v>2026</x:v>
      </x:c>
      <x:c r="C216" s="35" t="str">
        <x:v>History and Education</x:v>
      </x:c>
      <x:c r="D216" s="33" t="str">
        <x:v>Undergraduate</x:v>
      </x:c>
      <x:c r="E216" s="33" t="str">
        <x:v>Vacancies</x:v>
      </x:c>
      <x:c r="F216" s="33" t="str">
        <x:v>V1X3</x:v>
      </x:c>
      <x:c r="G216" s="33" t="str">
        <x:v>BA (Hons)</x:v>
      </x:c>
      <x:c r="H216" s="35" t="str">
        <x:v>64 UCAS tariff points</x:v>
      </x:c>
      <x:c r="I216" s="35" t="str">
        <x:v>No</x:v>
      </x:c>
      <x:c r="J216" s="35" t="str">
        <x:v>Most undergraduate courses require GCSE English Language at grade 4/C or equivalent. Some courses also require GCSE Mathematics at grade 4/C or equivalent.</x:v>
      </x:c>
      <x:c r="K216" s="35" t="str">
        <x:v>https://www.keele.ac.uk/clearing/entry-requirements/</x:v>
      </x:c>
      <x:c r="L216" s="35" t="str">
        <x:v>https://www.keele.ac.uk/study/undergraduate-2026/undergraduatecourses/historyandeducation/</x:v>
      </x:c>
      <x:c r="M216" s="33" t="str">
        <x:v>Yes</x:v>
      </x:c>
      <x:c r="N216" s="38" t="n">
        <x:v>46195</x:v>
      </x:c>
      <x:c r="O216" s="35" t="str">
        <x:v>Clearing content team</x:v>
      </x:c>
      <x:c r="P216" s="35" t="str">
        <x:v>Initial import from Clearing vacancies and ER page for 2026.docx</x:v>
      </x:c>
      <x:c r="Q216" s="36" t="str">
        <x:f>IF(A216="","Missing ID",IF(COUNTIF($A$5:$A$1000,A216)&gt;1,"Duplicate ID",IF(C216="","Missing title",IF(D216="","Missing type",IF(E216="","Missing availability",IF(H216="","Missing offer",IF(L216="","Missing course URL",IF(ISERROR(SEARCH("https://www.keele.ac.uk/",L216)),"Non-Keele URL",IF(AND(D216="Foundation year",ISERROR(SEARCH("#foundationyear",L216))),"FY URL missing #foundationyear",IF(M216="","Missing display status",IF(N216="","Missing review date",IF(O216="","Missing owner",IF(P216="","Missing change note","OK")))))))))))))</x:f>
        <x:v>OK</x:v>
      </x:c>
    </x:row>
    <x:row r="217">
      <x:c r="A217" s="33" t="str">
        <x:v>2026-historyandeducation-FY</x:v>
      </x:c>
      <x:c r="B217" s="37" t="n">
        <x:v>2026</x:v>
      </x:c>
      <x:c r="C217" s="35" t="str">
        <x:v>History and Education with Foundation Year</x:v>
      </x:c>
      <x:c r="D217" s="33" t="str">
        <x:v>Foundation year</x:v>
      </x:c>
      <x:c r="E217" s="33" t="str">
        <x:v>Vacancies</x:v>
      </x:c>
      <x:c r="F217" s="33" t="str"/>
      <x:c r="G217" s="33" t="str"/>
      <x:c r="H217" s="35" t="str">
        <x:v>Course-specific</x:v>
      </x:c>
      <x:c r="I217" s="35" t="str">
        <x:v>No</x:v>
      </x:c>
      <x:c r="J217" s="35" t="str">
        <x:v>Foundation Year requirements vary by course. View the full course details or call 01782 491120 to discuss your qualifications.</x:v>
      </x:c>
      <x:c r="K217" s="35" t="str">
        <x:v>https://www.keele.ac.uk/clearing/entry-requirements/</x:v>
      </x:c>
      <x:c r="L217" s="35" t="str">
        <x:v>https://www.keele.ac.uk/study/undergraduate-2026/undergraduatecourses/historyandeducation/#foundationyear</x:v>
      </x:c>
      <x:c r="M217" s="33" t="str">
        <x:v>Yes</x:v>
      </x:c>
      <x:c r="N217" s="38" t="n">
        <x:v>46195</x:v>
      </x:c>
      <x:c r="O217" s="35" t="str">
        <x:v>Clearing content team</x:v>
      </x:c>
      <x:c r="P217" s="35" t="str">
        <x:v>Initial import from Clearing vacancies and ER page for 2026.docx</x:v>
      </x:c>
      <x:c r="Q217" s="36" t="str">
        <x:f>IF(A217="","Missing ID",IF(COUNTIF($A$5:$A$1000,A217)&gt;1,"Duplicate ID",IF(C217="","Missing title",IF(D217="","Missing type",IF(E217="","Missing availability",IF(H217="","Missing offer",IF(L217="","Missing course URL",IF(ISERROR(SEARCH("https://www.keele.ac.uk/",L217)),"Non-Keele URL",IF(AND(D217="Foundation year",ISERROR(SEARCH("#foundationyear",L217))),"FY URL missing #foundationyear",IF(M217="","Missing display status",IF(N217="","Missing review date",IF(O217="","Missing owner",IF(P217="","Missing change note","OK")))))))))))))</x:f>
        <x:v>OK</x:v>
      </x:c>
    </x:row>
    <x:row r="218">
      <x:c r="A218" s="33" t="str">
        <x:v>2026-history-FY</x:v>
      </x:c>
      <x:c r="B218" s="37" t="n">
        <x:v>2026</x:v>
      </x:c>
      <x:c r="C218" s="35" t="str">
        <x:v>History with Foundation Year</x:v>
      </x:c>
      <x:c r="D218" s="33" t="str">
        <x:v>Foundation year</x:v>
      </x:c>
      <x:c r="E218" s="33" t="str">
        <x:v>Vacancies</x:v>
      </x:c>
      <x:c r="F218" s="33" t="str"/>
      <x:c r="G218" s="33" t="str"/>
      <x:c r="H218" s="35" t="str">
        <x:v>Course-specific</x:v>
      </x:c>
      <x:c r="I218" s="35" t="str">
        <x:v>No</x:v>
      </x:c>
      <x:c r="J218" s="35" t="str">
        <x:v>Foundation Year requirements vary by course. View the full course details or call 01782 491120 to discuss your qualifications.</x:v>
      </x:c>
      <x:c r="K218" s="35" t="str">
        <x:v>https://www.keele.ac.uk/clearing/entry-requirements/</x:v>
      </x:c>
      <x:c r="L218" s="35" t="str">
        <x:v>https://www.keele.ac.uk/study/undergraduate-2026/undergraduatecourses/history/#foundationyear</x:v>
      </x:c>
      <x:c r="M218" s="33" t="str">
        <x:v>Yes</x:v>
      </x:c>
      <x:c r="N218" s="38" t="n">
        <x:v>46195</x:v>
      </x:c>
      <x:c r="O218" s="35" t="str">
        <x:v>Clearing content team</x:v>
      </x:c>
      <x:c r="P218" s="35" t="str">
        <x:v>Initial import from Clearing vacancies and ER page for 2026.docx</x:v>
      </x:c>
      <x:c r="Q218" s="36" t="str">
        <x:f>IF(A218="","Missing ID",IF(COUNTIF($A$5:$A$1000,A218)&gt;1,"Duplicate ID",IF(C218="","Missing title",IF(D218="","Missing type",IF(E218="","Missing availability",IF(H218="","Missing offer",IF(L218="","Missing course URL",IF(ISERROR(SEARCH("https://www.keele.ac.uk/",L218)),"Non-Keele URL",IF(AND(D218="Foundation year",ISERROR(SEARCH("#foundationyear",L218))),"FY URL missing #foundationyear",IF(M218="","Missing display status",IF(N218="","Missing review date",IF(O218="","Missing owner",IF(P218="","Missing change note","OK")))))))))))))</x:f>
        <x:v>OK</x:v>
      </x:c>
    </x:row>
    <x:row r="219">
      <x:c r="A219" s="33" t="str">
        <x:v>2026-B110-UG</x:v>
      </x:c>
      <x:c r="B219" s="37" t="n">
        <x:v>2026</x:v>
      </x:c>
      <x:c r="C219" s="35" t="str">
        <x:v>Human Anatomy</x:v>
      </x:c>
      <x:c r="D219" s="33" t="str">
        <x:v>Undergraduate</x:v>
      </x:c>
      <x:c r="E219" s="33" t="str">
        <x:v>Vacancies</x:v>
      </x:c>
      <x:c r="F219" s="33" t="str">
        <x:v>B110</x:v>
      </x:c>
      <x:c r="G219" s="33" t="str">
        <x:v>BSc (Hons)</x:v>
      </x:c>
      <x:c r="H219" s="35" t="str">
        <x:v>64 UCAS tariff points</x:v>
      </x:c>
      <x:c r="I219" s="35" t="str">
        <x:v>Yes</x:v>
      </x:c>
      <x:c r="J219" s="35" t="str">
        <x:v>This course has additional subject-specific requirements. View the full course details or contact Admissions before applying.</x:v>
      </x:c>
      <x:c r="K219" s="35" t="str">
        <x:v>https://www.keele.ac.uk/clearing/entry-requirements/</x:v>
      </x:c>
      <x:c r="L219" s="35" t="str">
        <x:v>https://www.keele.ac.uk/study/undergraduate-2026/undergraduatecourses/humananatomy/</x:v>
      </x:c>
      <x:c r="M219" s="33" t="str">
        <x:v>Yes</x:v>
      </x:c>
      <x:c r="N219" s="38" t="n">
        <x:v>46195</x:v>
      </x:c>
      <x:c r="O219" s="35" t="str">
        <x:v>Clearing content team</x:v>
      </x:c>
      <x:c r="P219" s="35" t="str">
        <x:v>Initial import from Clearing vacancies and ER page for 2026.docx</x:v>
      </x:c>
      <x:c r="Q219" s="36" t="str">
        <x:f>IF(A219="","Missing ID",IF(COUNTIF($A$5:$A$1000,A219)&gt;1,"Duplicate ID",IF(C219="","Missing title",IF(D219="","Missing type",IF(E219="","Missing availability",IF(H219="","Missing offer",IF(L219="","Missing course URL",IF(ISERROR(SEARCH("https://www.keele.ac.uk/",L219)),"Non-Keele URL",IF(AND(D219="Foundation year",ISERROR(SEARCH("#foundationyear",L219))),"FY URL missing #foundationyear",IF(M219="","Missing display status",IF(N219="","Missing review date",IF(O219="","Missing owner",IF(P219="","Missing change note","OK")))))))))))))</x:f>
        <x:v>OK</x:v>
      </x:c>
    </x:row>
    <x:row r="220">
      <x:c r="A220" s="33" t="str">
        <x:v>2026-humananatomy-FY</x:v>
      </x:c>
      <x:c r="B220" s="37" t="n">
        <x:v>2026</x:v>
      </x:c>
      <x:c r="C220" s="35" t="str">
        <x:v>Human Anatomy with Foundation Year</x:v>
      </x:c>
      <x:c r="D220" s="33" t="str">
        <x:v>Foundation year</x:v>
      </x:c>
      <x:c r="E220" s="33" t="str">
        <x:v>Vacancies</x:v>
      </x:c>
      <x:c r="F220" s="33" t="str"/>
      <x:c r="G220" s="33" t="str"/>
      <x:c r="H220" s="35" t="str">
        <x:v>Course-specific</x:v>
      </x:c>
      <x:c r="I220" s="35" t="str">
        <x:v>No</x:v>
      </x:c>
      <x:c r="J220" s="35" t="str">
        <x:v>Foundation Year requirements vary by course. View the full course details or call 01782 491120 to discuss your qualifications.</x:v>
      </x:c>
      <x:c r="K220" s="35" t="str">
        <x:v>https://www.keele.ac.uk/clearing/entry-requirements/</x:v>
      </x:c>
      <x:c r="L220" s="35" t="str">
        <x:v>https://www.keele.ac.uk/study/undergraduate-2026/undergraduatecourses/humananatomy/#foundationyear</x:v>
      </x:c>
      <x:c r="M220" s="33" t="str">
        <x:v>Yes</x:v>
      </x:c>
      <x:c r="N220" s="38" t="n">
        <x:v>46195</x:v>
      </x:c>
      <x:c r="O220" s="35" t="str">
        <x:v>Clearing content team</x:v>
      </x:c>
      <x:c r="P220" s="35" t="str">
        <x:v>Initial import from Clearing vacancies and ER page for 2026.docx</x:v>
      </x:c>
      <x:c r="Q220" s="36" t="str">
        <x:f>IF(A220="","Missing ID",IF(COUNTIF($A$5:$A$1000,A220)&gt;1,"Duplicate ID",IF(C220="","Missing title",IF(D220="","Missing type",IF(E220="","Missing availability",IF(H220="","Missing offer",IF(L220="","Missing course URL",IF(ISERROR(SEARCH("https://www.keele.ac.uk/",L220)),"Non-Keele URL",IF(AND(D220="Foundation year",ISERROR(SEARCH("#foundationyear",L220))),"FY URL missing #foundationyear",IF(M220="","Missing display status",IF(N220="","Missing review date",IF(O220="","Missing owner",IF(P220="","Missing change note","OK")))))))))))))</x:f>
        <x:v>OK</x:v>
      </x:c>
    </x:row>
    <x:row r="221">
      <x:c r="A221" s="33" t="str">
        <x:v>2026-N120-UG</x:v>
      </x:c>
      <x:c r="B221" s="37" t="n">
        <x:v>2026</x:v>
      </x:c>
      <x:c r="C221" s="35" t="str">
        <x:v>International Business Management</x:v>
      </x:c>
      <x:c r="D221" s="33" t="str">
        <x:v>Undergraduate</x:v>
      </x:c>
      <x:c r="E221" s="33" t="str">
        <x:v>Vacancies</x:v>
      </x:c>
      <x:c r="F221" s="33" t="str">
        <x:v>N120</x:v>
      </x:c>
      <x:c r="G221" s="33" t="str">
        <x:v>BA (Hons)</x:v>
      </x:c>
      <x:c r="H221" s="35" t="str">
        <x:v>64 UCAS tariff points</x:v>
      </x:c>
      <x:c r="I221" s="35" t="str">
        <x:v>No</x:v>
      </x:c>
      <x:c r="J221" s="35" t="str">
        <x:v>Most undergraduate courses require GCSE English Language at grade 4/C or equivalent. Some courses also require GCSE Mathematics at grade 4/C or equivalent.</x:v>
      </x:c>
      <x:c r="K221" s="35" t="str">
        <x:v>https://www.keele.ac.uk/clearing/entry-requirements/</x:v>
      </x:c>
      <x:c r="L221" s="35" t="str">
        <x:v>https://www.keele.ac.uk/study/undergraduate-2026/undergraduatecourses/internationalbusinessmanagement/</x:v>
      </x:c>
      <x:c r="M221" s="33" t="str">
        <x:v>Yes</x:v>
      </x:c>
      <x:c r="N221" s="38" t="n">
        <x:v>46195</x:v>
      </x:c>
      <x:c r="O221" s="35" t="str">
        <x:v>Clearing content team</x:v>
      </x:c>
      <x:c r="P221" s="35" t="str">
        <x:v>Initial import from Clearing vacancies and ER page for 2026.docx</x:v>
      </x:c>
      <x:c r="Q221" s="36" t="str">
        <x:f>IF(A221="","Missing ID",IF(COUNTIF($A$5:$A$1000,A221)&gt;1,"Duplicate ID",IF(C221="","Missing title",IF(D221="","Missing type",IF(E221="","Missing availability",IF(H221="","Missing offer",IF(L221="","Missing course URL",IF(ISERROR(SEARCH("https://www.keele.ac.uk/",L221)),"Non-Keele URL",IF(AND(D221="Foundation year",ISERROR(SEARCH("#foundationyear",L221))),"FY URL missing #foundationyear",IF(M221="","Missing display status",IF(N221="","Missing review date",IF(O221="","Missing owner",IF(P221="","Missing change note","OK")))))))))))))</x:f>
        <x:v>OK</x:v>
      </x:c>
    </x:row>
    <x:row r="222">
      <x:c r="A222" s="33" t="str">
        <x:v>2026-internationalbusinessmanagement-FY</x:v>
      </x:c>
      <x:c r="B222" s="37" t="n">
        <x:v>2026</x:v>
      </x:c>
      <x:c r="C222" s="35" t="str">
        <x:v>International Business Management with Foundation Year</x:v>
      </x:c>
      <x:c r="D222" s="33" t="str">
        <x:v>Foundation year</x:v>
      </x:c>
      <x:c r="E222" s="33" t="str">
        <x:v>Vacancies</x:v>
      </x:c>
      <x:c r="F222" s="33" t="str"/>
      <x:c r="G222" s="33" t="str"/>
      <x:c r="H222" s="35" t="str">
        <x:v>Course-specific</x:v>
      </x:c>
      <x:c r="I222" s="35" t="str">
        <x:v>No</x:v>
      </x:c>
      <x:c r="J222" s="35" t="str">
        <x:v>Foundation Year requirements vary by course. View the full course details or call 01782 491120 to discuss your qualifications.</x:v>
      </x:c>
      <x:c r="K222" s="35" t="str">
        <x:v>https://www.keele.ac.uk/clearing/entry-requirements/</x:v>
      </x:c>
      <x:c r="L222" s="35" t="str">
        <x:v>https://www.keele.ac.uk/study/undergraduate-2026/undergraduatecourses/internationalbusinessmanagement/#foundationyear</x:v>
      </x:c>
      <x:c r="M222" s="33" t="str">
        <x:v>Yes</x:v>
      </x:c>
      <x:c r="N222" s="38" t="n">
        <x:v>46195</x:v>
      </x:c>
      <x:c r="O222" s="35" t="str">
        <x:v>Clearing content team</x:v>
      </x:c>
      <x:c r="P222" s="35" t="str">
        <x:v>Initial import from Clearing vacancies and ER page for 2026.docx</x:v>
      </x:c>
      <x:c r="Q222" s="36" t="str">
        <x:f>IF(A222="","Missing ID",IF(COUNTIF($A$5:$A$1000,A222)&gt;1,"Duplicate ID",IF(C222="","Missing title",IF(D222="","Missing type",IF(E222="","Missing availability",IF(H222="","Missing offer",IF(L222="","Missing course URL",IF(ISERROR(SEARCH("https://www.keele.ac.uk/",L222)),"Non-Keele URL",IF(AND(D222="Foundation year",ISERROR(SEARCH("#foundationyear",L222))),"FY URL missing #foundationyear",IF(M222="","Missing display status",IF(N222="","Missing review date",IF(O222="","Missing owner",IF(P222="","Missing change note","OK")))))))))))))</x:f>
        <x:v>OK</x:v>
      </x:c>
    </x:row>
    <x:row r="223">
      <x:c r="A223" s="33" t="str">
        <x:v>2026-internationalgovernanceandpublicpolicy-UG</x:v>
      </x:c>
      <x:c r="B223" s="37" t="n">
        <x:v>2026</x:v>
      </x:c>
      <x:c r="C223" s="35" t="str">
        <x:v>International Governance and Public Policy</x:v>
      </x:c>
      <x:c r="D223" s="33" t="str">
        <x:v>Undergraduate</x:v>
      </x:c>
      <x:c r="E223" s="33" t="str">
        <x:v>Vacancies</x:v>
      </x:c>
      <x:c r="F223" s="33" t="str"/>
      <x:c r="G223" s="33" t="str">
        <x:v>BA (Hons)</x:v>
      </x:c>
      <x:c r="H223" s="35" t="str">
        <x:v>64 UCAS tariff points</x:v>
      </x:c>
      <x:c r="I223" s="35" t="str">
        <x:v>No</x:v>
      </x:c>
      <x:c r="J223" s="35" t="str">
        <x:v>Most undergraduate courses require GCSE English Language at grade 4/C or equivalent. Some courses also require GCSE Mathematics at grade 4/C or equivalent.</x:v>
      </x:c>
      <x:c r="K223" s="35" t="str">
        <x:v>https://www.keele.ac.uk/clearing/entry-requirements/</x:v>
      </x:c>
      <x:c r="L223" s="35" t="str">
        <x:v>https://www.keele.ac.uk/study/undergraduate-2026/undergraduatecourses/internationalgovernanceandpublicpolicy/</x:v>
      </x:c>
      <x:c r="M223" s="33" t="str">
        <x:v>Yes</x:v>
      </x:c>
      <x:c r="N223" s="38" t="n">
        <x:v>46195</x:v>
      </x:c>
      <x:c r="O223" s="35" t="str">
        <x:v>Clearing content team</x:v>
      </x:c>
      <x:c r="P223" s="35" t="str">
        <x:v>Initial import from Clearing vacancies and ER page for 2026.docx</x:v>
      </x:c>
      <x:c r="Q223" s="36" t="str">
        <x:f>IF(A223="","Missing ID",IF(COUNTIF($A$5:$A$1000,A223)&gt;1,"Duplicate ID",IF(C223="","Missing title",IF(D223="","Missing type",IF(E223="","Missing availability",IF(H223="","Missing offer",IF(L223="","Missing course URL",IF(ISERROR(SEARCH("https://www.keele.ac.uk/",L223)),"Non-Keele URL",IF(AND(D223="Foundation year",ISERROR(SEARCH("#foundationyear",L223))),"FY URL missing #foundationyear",IF(M223="","Missing display status",IF(N223="","Missing review date",IF(O223="","Missing owner",IF(P223="","Missing change note","OK")))))))))))))</x:f>
        <x:v>OK</x:v>
      </x:c>
    </x:row>
    <x:row r="224">
      <x:c r="A224" s="33" t="str">
        <x:v>2026-L254-UG</x:v>
      </x:c>
      <x:c r="B224" s="37" t="n">
        <x:v>2026</x:v>
      </x:c>
      <x:c r="C224" s="35" t="str">
        <x:v>International Relations</x:v>
      </x:c>
      <x:c r="D224" s="33" t="str">
        <x:v>Undergraduate</x:v>
      </x:c>
      <x:c r="E224" s="33" t="str">
        <x:v>Vacancies</x:v>
      </x:c>
      <x:c r="F224" s="33" t="str">
        <x:v>L254</x:v>
      </x:c>
      <x:c r="G224" s="33" t="str">
        <x:v>BA (Hons)</x:v>
      </x:c>
      <x:c r="H224" s="35" t="str">
        <x:v>64 UCAS tariff points</x:v>
      </x:c>
      <x:c r="I224" s="35" t="str">
        <x:v>No</x:v>
      </x:c>
      <x:c r="J224" s="35" t="str">
        <x:v>Most undergraduate courses require GCSE English Language at grade 4/C or equivalent. Some courses also require GCSE Mathematics at grade 4/C or equivalent.</x:v>
      </x:c>
      <x:c r="K224" s="35" t="str">
        <x:v>https://www.keele.ac.uk/clearing/entry-requirements/</x:v>
      </x:c>
      <x:c r="L224" s="35" t="str">
        <x:v>https://www.keele.ac.uk/study/undergraduate-2026/undergraduatecourses/internationalrelations/</x:v>
      </x:c>
      <x:c r="M224" s="33" t="str">
        <x:v>Yes</x:v>
      </x:c>
      <x:c r="N224" s="38" t="n">
        <x:v>46195</x:v>
      </x:c>
      <x:c r="O224" s="35" t="str">
        <x:v>Clearing content team</x:v>
      </x:c>
      <x:c r="P224" s="35" t="str">
        <x:v>Initial import from Clearing vacancies and ER page for 2026.docx</x:v>
      </x:c>
      <x:c r="Q224" s="36" t="str">
        <x:f>IF(A224="","Missing ID",IF(COUNTIF($A$5:$A$1000,A224)&gt;1,"Duplicate ID",IF(C224="","Missing title",IF(D224="","Missing type",IF(E224="","Missing availability",IF(H224="","Missing offer",IF(L224="","Missing course URL",IF(ISERROR(SEARCH("https://www.keele.ac.uk/",L224)),"Non-Keele URL",IF(AND(D224="Foundation year",ISERROR(SEARCH("#foundationyear",L224))),"FY URL missing #foundationyear",IF(M224="","Missing display status",IF(N224="","Missing review date",IF(O224="","Missing owner",IF(P224="","Missing change note","OK")))))))))))))</x:f>
        <x:v>OK</x:v>
      </x:c>
    </x:row>
    <x:row r="225">
      <x:c r="A225" s="33" t="str">
        <x:v>2026-internationalrelations-FY</x:v>
      </x:c>
      <x:c r="B225" s="37" t="n">
        <x:v>2026</x:v>
      </x:c>
      <x:c r="C225" s="35" t="str">
        <x:v>International Relations with Foundation Year</x:v>
      </x:c>
      <x:c r="D225" s="33" t="str">
        <x:v>Foundation year</x:v>
      </x:c>
      <x:c r="E225" s="33" t="str">
        <x:v>Vacancies</x:v>
      </x:c>
      <x:c r="F225" s="33" t="str"/>
      <x:c r="G225" s="33" t="str"/>
      <x:c r="H225" s="35" t="str">
        <x:v>Course-specific</x:v>
      </x:c>
      <x:c r="I225" s="35" t="str">
        <x:v>No</x:v>
      </x:c>
      <x:c r="J225" s="35" t="str">
        <x:v>Foundation Year requirements vary by course. View the full course details or call 01782 491120 to discuss your qualifications.</x:v>
      </x:c>
      <x:c r="K225" s="35" t="str">
        <x:v>https://www.keele.ac.uk/clearing/entry-requirements/</x:v>
      </x:c>
      <x:c r="L225" s="35" t="str">
        <x:v>https://www.keele.ac.uk/study/undergraduate-2026/undergraduatecourses/internationalrelations/#foundationyear</x:v>
      </x:c>
      <x:c r="M225" s="33" t="str">
        <x:v>Yes</x:v>
      </x:c>
      <x:c r="N225" s="38" t="n">
        <x:v>46195</x:v>
      </x:c>
      <x:c r="O225" s="35" t="str">
        <x:v>Clearing content team</x:v>
      </x:c>
      <x:c r="P225" s="35" t="str">
        <x:v>Initial import from Clearing vacancies and ER page for 2026.docx</x:v>
      </x:c>
      <x:c r="Q225" s="36" t="str">
        <x:f>IF(A225="","Missing ID",IF(COUNTIF($A$5:$A$1000,A225)&gt;1,"Duplicate ID",IF(C225="","Missing title",IF(D225="","Missing type",IF(E225="","Missing availability",IF(H225="","Missing offer",IF(L225="","Missing course URL",IF(ISERROR(SEARCH("https://www.keele.ac.uk/",L225)),"Non-Keele URL",IF(AND(D225="Foundation year",ISERROR(SEARCH("#foundationyear",L225))),"FY URL missing #foundationyear",IF(M225="","Missing display status",IF(N225="","Missing review date",IF(O225="","Missing owner",IF(P225="","Missing change note","OK")))))))))))))</x:f>
        <x:v>OK</x:v>
      </x:c>
    </x:row>
    <x:row r="226">
      <x:c r="A226" s="33" t="str">
        <x:v>2026-M100-UG</x:v>
      </x:c>
      <x:c r="B226" s="37" t="n">
        <x:v>2026</x:v>
      </x:c>
      <x:c r="C226" s="35" t="str">
        <x:v>Law</x:v>
      </x:c>
      <x:c r="D226" s="33" t="str">
        <x:v>Undergraduate</x:v>
      </x:c>
      <x:c r="E226" s="33" t="str">
        <x:v>Vacancies</x:v>
      </x:c>
      <x:c r="F226" s="33" t="str">
        <x:v>M100</x:v>
      </x:c>
      <x:c r="G226" s="33" t="str">
        <x:v>LLB (Hons)</x:v>
      </x:c>
      <x:c r="H226" s="35" t="str">
        <x:v>64 UCAS tariff points</x:v>
      </x:c>
      <x:c r="I226" s="35" t="str">
        <x:v>No</x:v>
      </x:c>
      <x:c r="J226" s="35" t="str">
        <x:v>Most undergraduate courses require GCSE English Language at grade 4/C or equivalent. Some courses also require GCSE Mathematics at grade 4/C or equivalent.</x:v>
      </x:c>
      <x:c r="K226" s="35" t="str">
        <x:v>https://www.keele.ac.uk/clearing/entry-requirements/</x:v>
      </x:c>
      <x:c r="L226" s="35" t="str">
        <x:v>https://www.keele.ac.uk/study/undergraduate-2026/undergraduatecourses/law/</x:v>
      </x:c>
      <x:c r="M226" s="33" t="str">
        <x:v>Yes</x:v>
      </x:c>
      <x:c r="N226" s="38" t="n">
        <x:v>46195</x:v>
      </x:c>
      <x:c r="O226" s="35" t="str">
        <x:v>Clearing content team</x:v>
      </x:c>
      <x:c r="P226" s="35" t="str">
        <x:v>Initial import from Clearing vacancies and ER page for 2026.docx</x:v>
      </x:c>
      <x:c r="Q226" s="36" t="str">
        <x:f>IF(A226="","Missing ID",IF(COUNTIF($A$5:$A$1000,A226)&gt;1,"Duplicate ID",IF(C226="","Missing title",IF(D226="","Missing type",IF(E226="","Missing availability",IF(H226="","Missing offer",IF(L226="","Missing course URL",IF(ISERROR(SEARCH("https://www.keele.ac.uk/",L226)),"Non-Keele URL",IF(AND(D226="Foundation year",ISERROR(SEARCH("#foundationyear",L226))),"FY URL missing #foundationyear",IF(M226="","Missing display status",IF(N226="","Missing review date",IF(O226="","Missing owner",IF(P226="","Missing change note","OK")))))))))))))</x:f>
        <x:v>OK</x:v>
      </x:c>
    </x:row>
    <x:row r="227">
      <x:c r="A227" s="33" t="str">
        <x:v>2026-M105-UG</x:v>
      </x:c>
      <x:c r="B227" s="37" t="n">
        <x:v>2026</x:v>
      </x:c>
      <x:c r="C227" s="35" t="str">
        <x:v>Law (Graduate Entry)</x:v>
      </x:c>
      <x:c r="D227" s="33" t="str">
        <x:v>Undergraduate</x:v>
      </x:c>
      <x:c r="E227" s="33" t="str">
        <x:v>Vacancies</x:v>
      </x:c>
      <x:c r="F227" s="33" t="str">
        <x:v>M105</x:v>
      </x:c>
      <x:c r="G227" s="33" t="str">
        <x:v>LLB</x:v>
      </x:c>
      <x:c r="H227" s="35" t="str">
        <x:v>2:2 degree</x:v>
      </x:c>
      <x:c r="I227" s="35" t="str">
        <x:v>Yes</x:v>
      </x:c>
      <x:c r="J227" s="35" t="str">
        <x:v>This course has additional subject-specific requirements. View the full course details or contact Admissions before applying.</x:v>
      </x:c>
      <x:c r="K227" s="35" t="str">
        <x:v>https://www.keele.ac.uk/clearing/entry-requirements/</x:v>
      </x:c>
      <x:c r="L227" s="35" t="str">
        <x:v>https://www.keele.ac.uk/study/undergraduate-2026/undergraduatecourses/lawgraduateentry/</x:v>
      </x:c>
      <x:c r="M227" s="33" t="str">
        <x:v>Yes</x:v>
      </x:c>
      <x:c r="N227" s="38" t="n">
        <x:v>46195</x:v>
      </x:c>
      <x:c r="O227" s="35" t="str">
        <x:v>Clearing content team</x:v>
      </x:c>
      <x:c r="P227" s="35" t="str">
        <x:v>Initial import from Clearing vacancies and ER page for 2026.docx</x:v>
      </x:c>
      <x:c r="Q227" s="36" t="str">
        <x:f>IF(A227="","Missing ID",IF(COUNTIF($A$5:$A$1000,A227)&gt;1,"Duplicate ID",IF(C227="","Missing title",IF(D227="","Missing type",IF(E227="","Missing availability",IF(H227="","Missing offer",IF(L227="","Missing course URL",IF(ISERROR(SEARCH("https://www.keele.ac.uk/",L227)),"Non-Keele URL",IF(AND(D227="Foundation year",ISERROR(SEARCH("#foundationyear",L227))),"FY URL missing #foundationyear",IF(M227="","Missing display status",IF(N227="","Missing review date",IF(O227="","Missing owner",IF(P227="","Missing change note","OK")))))))))))))</x:f>
        <x:v>OK</x:v>
      </x:c>
    </x:row>
    <x:row r="228">
      <x:c r="A228" s="33" t="str">
        <x:v>2026-M1N1-UG</x:v>
      </x:c>
      <x:c r="B228" s="37" t="n">
        <x:v>2026</x:v>
      </x:c>
      <x:c r="C228" s="35" t="str">
        <x:v>Law with Business</x:v>
      </x:c>
      <x:c r="D228" s="33" t="str">
        <x:v>Undergraduate</x:v>
      </x:c>
      <x:c r="E228" s="33" t="str">
        <x:v>Vacancies</x:v>
      </x:c>
      <x:c r="F228" s="33" t="str">
        <x:v>M1N1</x:v>
      </x:c>
      <x:c r="G228" s="33" t="str">
        <x:v>LLB (Hons)</x:v>
      </x:c>
      <x:c r="H228" s="35" t="str">
        <x:v>64 UCAS tariff points</x:v>
      </x:c>
      <x:c r="I228" s="35" t="str">
        <x:v>No</x:v>
      </x:c>
      <x:c r="J228" s="35" t="str">
        <x:v>Most undergraduate courses require GCSE English Language at grade 4/C or equivalent. Some courses also require GCSE Mathematics at grade 4/C or equivalent.</x:v>
      </x:c>
      <x:c r="K228" s="35" t="str">
        <x:v>https://www.keele.ac.uk/clearing/entry-requirements/</x:v>
      </x:c>
      <x:c r="L228" s="35" t="str">
        <x:v>https://www.keele.ac.uk/study/undergraduate-2026/undergraduatecourses/lawwithbusiness/</x:v>
      </x:c>
      <x:c r="M228" s="33" t="str">
        <x:v>Yes</x:v>
      </x:c>
      <x:c r="N228" s="38" t="n">
        <x:v>46195</x:v>
      </x:c>
      <x:c r="O228" s="35" t="str">
        <x:v>Clearing content team</x:v>
      </x:c>
      <x:c r="P228" s="35" t="str">
        <x:v>Initial import from Clearing vacancies and ER page for 2026.docx</x:v>
      </x:c>
      <x:c r="Q228" s="36" t="str">
        <x:f>IF(A228="","Missing ID",IF(COUNTIF($A$5:$A$1000,A228)&gt;1,"Duplicate ID",IF(C228="","Missing title",IF(D228="","Missing type",IF(E228="","Missing availability",IF(H228="","Missing offer",IF(L228="","Missing course URL",IF(ISERROR(SEARCH("https://www.keele.ac.uk/",L228)),"Non-Keele URL",IF(AND(D228="Foundation year",ISERROR(SEARCH("#foundationyear",L228))),"FY URL missing #foundationyear",IF(M228="","Missing display status",IF(N228="","Missing review date",IF(O228="","Missing owner",IF(P228="","Missing change note","OK")))))))))))))</x:f>
        <x:v>OK</x:v>
      </x:c>
    </x:row>
    <x:row r="229">
      <x:c r="A229" s="33" t="str">
        <x:v>2026-lawwithbusiness-FY</x:v>
      </x:c>
      <x:c r="B229" s="37" t="n">
        <x:v>2026</x:v>
      </x:c>
      <x:c r="C229" s="35" t="str">
        <x:v>Law with Business with Foundation Year</x:v>
      </x:c>
      <x:c r="D229" s="33" t="str">
        <x:v>Foundation year</x:v>
      </x:c>
      <x:c r="E229" s="33" t="str">
        <x:v>Vacancies</x:v>
      </x:c>
      <x:c r="F229" s="33" t="str"/>
      <x:c r="G229" s="33" t="str"/>
      <x:c r="H229" s="35" t="str">
        <x:v>Course-specific</x:v>
      </x:c>
      <x:c r="I229" s="35" t="str">
        <x:v>No</x:v>
      </x:c>
      <x:c r="J229" s="35" t="str">
        <x:v>Foundation Year requirements vary by course. View the full course details or call 01782 491120 to discuss your qualifications.</x:v>
      </x:c>
      <x:c r="K229" s="35" t="str">
        <x:v>https://www.keele.ac.uk/clearing/entry-requirements/</x:v>
      </x:c>
      <x:c r="L229" s="35" t="str">
        <x:v>https://www.keele.ac.uk/study/undergraduate-2026/undergraduatecourses/lawwithbusiness/#foundationyear</x:v>
      </x:c>
      <x:c r="M229" s="33" t="str">
        <x:v>Yes</x:v>
      </x:c>
      <x:c r="N229" s="38" t="n">
        <x:v>46195</x:v>
      </x:c>
      <x:c r="O229" s="35" t="str">
        <x:v>Clearing content team</x:v>
      </x:c>
      <x:c r="P229" s="35" t="str">
        <x:v>Initial import from Clearing vacancies and ER page for 2026.docx</x:v>
      </x:c>
      <x:c r="Q229" s="36" t="str">
        <x:f>IF(A229="","Missing ID",IF(COUNTIF($A$5:$A$1000,A229)&gt;1,"Duplicate ID",IF(C229="","Missing title",IF(D229="","Missing type",IF(E229="","Missing availability",IF(H229="","Missing offer",IF(L229="","Missing course URL",IF(ISERROR(SEARCH("https://www.keele.ac.uk/",L229)),"Non-Keele URL",IF(AND(D229="Foundation year",ISERROR(SEARCH("#foundationyear",L229))),"FY URL missing #foundationyear",IF(M229="","Missing display status",IF(N229="","Missing review date",IF(O229="","Missing owner",IF(P229="","Missing change note","OK")))))))))))))</x:f>
        <x:v>OK</x:v>
      </x:c>
    </x:row>
    <x:row r="230">
      <x:c r="A230" s="33" t="str">
        <x:v>2026-M1LH-UG</x:v>
      </x:c>
      <x:c r="B230" s="37" t="n">
        <x:v>2026</x:v>
      </x:c>
      <x:c r="C230" s="35" t="str">
        <x:v>Law with Criminology</x:v>
      </x:c>
      <x:c r="D230" s="33" t="str">
        <x:v>Undergraduate</x:v>
      </x:c>
      <x:c r="E230" s="33" t="str">
        <x:v>Vacancies</x:v>
      </x:c>
      <x:c r="F230" s="33" t="str">
        <x:v>M1LH</x:v>
      </x:c>
      <x:c r="G230" s="33" t="str">
        <x:v>LLB (Hons)</x:v>
      </x:c>
      <x:c r="H230" s="35" t="str">
        <x:v>64 UCAS tariff points</x:v>
      </x:c>
      <x:c r="I230" s="35" t="str">
        <x:v>No</x:v>
      </x:c>
      <x:c r="J230" s="35" t="str">
        <x:v>Most undergraduate courses require GCSE English Language at grade 4/C or equivalent. Some courses also require GCSE Mathematics at grade 4/C or equivalent.</x:v>
      </x:c>
      <x:c r="K230" s="35" t="str">
        <x:v>https://www.keele.ac.uk/clearing/entry-requirements/</x:v>
      </x:c>
      <x:c r="L230" s="35" t="str">
        <x:v>https://www.keele.ac.uk/study/undergraduate-2026/undergraduatecourses/lawwithcriminology/</x:v>
      </x:c>
      <x:c r="M230" s="33" t="str">
        <x:v>Yes</x:v>
      </x:c>
      <x:c r="N230" s="38" t="n">
        <x:v>46195</x:v>
      </x:c>
      <x:c r="O230" s="35" t="str">
        <x:v>Clearing content team</x:v>
      </x:c>
      <x:c r="P230" s="35" t="str">
        <x:v>Initial import from Clearing vacancies and ER page for 2026.docx</x:v>
      </x:c>
      <x:c r="Q230" s="36" t="str">
        <x:f>IF(A230="","Missing ID",IF(COUNTIF($A$5:$A$1000,A230)&gt;1,"Duplicate ID",IF(C230="","Missing title",IF(D230="","Missing type",IF(E230="","Missing availability",IF(H230="","Missing offer",IF(L230="","Missing course URL",IF(ISERROR(SEARCH("https://www.keele.ac.uk/",L230)),"Non-Keele URL",IF(AND(D230="Foundation year",ISERROR(SEARCH("#foundationyear",L230))),"FY URL missing #foundationyear",IF(M230="","Missing display status",IF(N230="","Missing review date",IF(O230="","Missing owner",IF(P230="","Missing change note","OK")))))))))))))</x:f>
        <x:v>OK</x:v>
      </x:c>
    </x:row>
    <x:row r="231">
      <x:c r="A231" s="33" t="str">
        <x:v>2026-lawwithcriminology-FY</x:v>
      </x:c>
      <x:c r="B231" s="37" t="n">
        <x:v>2026</x:v>
      </x:c>
      <x:c r="C231" s="35" t="str">
        <x:v>Law with Criminology with Foundation Year</x:v>
      </x:c>
      <x:c r="D231" s="33" t="str">
        <x:v>Foundation year</x:v>
      </x:c>
      <x:c r="E231" s="33" t="str">
        <x:v>Vacancies</x:v>
      </x:c>
      <x:c r="F231" s="33" t="str"/>
      <x:c r="G231" s="33" t="str"/>
      <x:c r="H231" s="35" t="str">
        <x:v>Course-specific</x:v>
      </x:c>
      <x:c r="I231" s="35" t="str">
        <x:v>No</x:v>
      </x:c>
      <x:c r="J231" s="35" t="str">
        <x:v>Foundation Year requirements vary by course. View the full course details or call 01782 491120 to discuss your qualifications.</x:v>
      </x:c>
      <x:c r="K231" s="35" t="str">
        <x:v>https://www.keele.ac.uk/clearing/entry-requirements/</x:v>
      </x:c>
      <x:c r="L231" s="35" t="str">
        <x:v>https://www.keele.ac.uk/study/undergraduate-2026/undergraduatecourses/lawwithcriminology/#foundationyear</x:v>
      </x:c>
      <x:c r="M231" s="33" t="str">
        <x:v>Yes</x:v>
      </x:c>
      <x:c r="N231" s="38" t="n">
        <x:v>46195</x:v>
      </x:c>
      <x:c r="O231" s="35" t="str">
        <x:v>Clearing content team</x:v>
      </x:c>
      <x:c r="P231" s="35" t="str">
        <x:v>Initial import from Clearing vacancies and ER page for 2026.docx</x:v>
      </x:c>
      <x:c r="Q231" s="36" t="str">
        <x:f>IF(A231="","Missing ID",IF(COUNTIF($A$5:$A$1000,A231)&gt;1,"Duplicate ID",IF(C231="","Missing title",IF(D231="","Missing type",IF(E231="","Missing availability",IF(H231="","Missing offer",IF(L231="","Missing course URL",IF(ISERROR(SEARCH("https://www.keele.ac.uk/",L231)),"Non-Keele URL",IF(AND(D231="Foundation year",ISERROR(SEARCH("#foundationyear",L231))),"FY URL missing #foundationyear",IF(M231="","Missing display status",IF(N231="","Missing review date",IF(O231="","Missing owner",IF(P231="","Missing change note","OK")))))))))))))</x:f>
        <x:v>OK</x:v>
      </x:c>
    </x:row>
    <x:row r="232">
      <x:c r="A232" s="33" t="str">
        <x:v>2026-law-FY</x:v>
      </x:c>
      <x:c r="B232" s="37" t="n">
        <x:v>2026</x:v>
      </x:c>
      <x:c r="C232" s="35" t="str">
        <x:v>Law with Foundation Year</x:v>
      </x:c>
      <x:c r="D232" s="33" t="str">
        <x:v>Foundation year</x:v>
      </x:c>
      <x:c r="E232" s="33" t="str">
        <x:v>Vacancies</x:v>
      </x:c>
      <x:c r="F232" s="33" t="str"/>
      <x:c r="G232" s="33" t="str"/>
      <x:c r="H232" s="35" t="str">
        <x:v>Course-specific</x:v>
      </x:c>
      <x:c r="I232" s="35" t="str">
        <x:v>No</x:v>
      </x:c>
      <x:c r="J232" s="35" t="str">
        <x:v>Foundation Year requirements vary by course. View the full course details or call 01782 491120 to discuss your qualifications.</x:v>
      </x:c>
      <x:c r="K232" s="35" t="str">
        <x:v>https://www.keele.ac.uk/clearing/entry-requirements/</x:v>
      </x:c>
      <x:c r="L232" s="35" t="str">
        <x:v>https://www.keele.ac.uk/study/undergraduate-2026/undergraduatecourses/law/#foundationyear</x:v>
      </x:c>
      <x:c r="M232" s="33" t="str">
        <x:v>Yes</x:v>
      </x:c>
      <x:c r="N232" s="38" t="n">
        <x:v>46195</x:v>
      </x:c>
      <x:c r="O232" s="35" t="str">
        <x:v>Clearing content team</x:v>
      </x:c>
      <x:c r="P232" s="35" t="str">
        <x:v>Initial import from Clearing vacancies and ER page for 2026.docx</x:v>
      </x:c>
      <x:c r="Q232" s="36" t="str">
        <x:f>IF(A232="","Missing ID",IF(COUNTIF($A$5:$A$1000,A232)&gt;1,"Duplicate ID",IF(C232="","Missing title",IF(D232="","Missing type",IF(E232="","Missing availability",IF(H232="","Missing offer",IF(L232="","Missing course URL",IF(ISERROR(SEARCH("https://www.keele.ac.uk/",L232)),"Non-Keele URL",IF(AND(D232="Foundation year",ISERROR(SEARCH("#foundationyear",L232))),"FY URL missing #foundationyear",IF(M232="","Missing display status",IF(N232="","Missing review date",IF(O232="","Missing owner",IF(P232="","Missing change note","OK")))))))))))))</x:f>
        <x:v>OK</x:v>
      </x:c>
    </x:row>
    <x:row r="233">
      <x:c r="A233" s="33" t="str">
        <x:v>2026-M1L2-UG</x:v>
      </x:c>
      <x:c r="B233" s="37" t="n">
        <x:v>2026</x:v>
      </x:c>
      <x:c r="C233" s="35" t="str">
        <x:v>Law with Politics</x:v>
      </x:c>
      <x:c r="D233" s="33" t="str">
        <x:v>Undergraduate</x:v>
      </x:c>
      <x:c r="E233" s="33" t="str">
        <x:v>Vacancies</x:v>
      </x:c>
      <x:c r="F233" s="33" t="str">
        <x:v>M1L2</x:v>
      </x:c>
      <x:c r="G233" s="33" t="str">
        <x:v>LLB (Hons)</x:v>
      </x:c>
      <x:c r="H233" s="35" t="str">
        <x:v>64 UCAS tariff points</x:v>
      </x:c>
      <x:c r="I233" s="35" t="str">
        <x:v>No</x:v>
      </x:c>
      <x:c r="J233" s="35" t="str">
        <x:v>Most undergraduate courses require GCSE English Language at grade 4/C or equivalent. Some courses also require GCSE Mathematics at grade 4/C or equivalent.</x:v>
      </x:c>
      <x:c r="K233" s="35" t="str">
        <x:v>https://www.keele.ac.uk/clearing/entry-requirements/</x:v>
      </x:c>
      <x:c r="L233" s="35" t="str">
        <x:v>https://www.keele.ac.uk/study/undergraduate-2026/undergraduatecourses/lawwithpolitics/</x:v>
      </x:c>
      <x:c r="M233" s="33" t="str">
        <x:v>Yes</x:v>
      </x:c>
      <x:c r="N233" s="38" t="n">
        <x:v>46195</x:v>
      </x:c>
      <x:c r="O233" s="35" t="str">
        <x:v>Clearing content team</x:v>
      </x:c>
      <x:c r="P233" s="35" t="str">
        <x:v>Initial import from Clearing vacancies and ER page for 2026.docx</x:v>
      </x:c>
      <x:c r="Q233" s="36" t="str">
        <x:f>IF(A233="","Missing ID",IF(COUNTIF($A$5:$A$1000,A233)&gt;1,"Duplicate ID",IF(C233="","Missing title",IF(D233="","Missing type",IF(E233="","Missing availability",IF(H233="","Missing offer",IF(L233="","Missing course URL",IF(ISERROR(SEARCH("https://www.keele.ac.uk/",L233)),"Non-Keele URL",IF(AND(D233="Foundation year",ISERROR(SEARCH("#foundationyear",L233))),"FY URL missing #foundationyear",IF(M233="","Missing display status",IF(N233="","Missing review date",IF(O233="","Missing owner",IF(P233="","Missing change note","OK")))))))))))))</x:f>
        <x:v>OK</x:v>
      </x:c>
    </x:row>
    <x:row r="234">
      <x:c r="A234" s="33" t="str">
        <x:v>2026-lawwithpolitics-FY</x:v>
      </x:c>
      <x:c r="B234" s="37" t="n">
        <x:v>2026</x:v>
      </x:c>
      <x:c r="C234" s="35" t="str">
        <x:v>Law with Politics with Foundation Year</x:v>
      </x:c>
      <x:c r="D234" s="33" t="str">
        <x:v>Foundation year</x:v>
      </x:c>
      <x:c r="E234" s="33" t="str">
        <x:v>Vacancies</x:v>
      </x:c>
      <x:c r="F234" s="33" t="str"/>
      <x:c r="G234" s="33" t="str"/>
      <x:c r="H234" s="35" t="str">
        <x:v>Course-specific</x:v>
      </x:c>
      <x:c r="I234" s="35" t="str">
        <x:v>No</x:v>
      </x:c>
      <x:c r="J234" s="35" t="str">
        <x:v>Foundation Year requirements vary by course. View the full course details or call 01782 491120 to discuss your qualifications.</x:v>
      </x:c>
      <x:c r="K234" s="35" t="str">
        <x:v>https://www.keele.ac.uk/clearing/entry-requirements/</x:v>
      </x:c>
      <x:c r="L234" s="35" t="str">
        <x:v>https://www.keele.ac.uk/study/undergraduate-2026/undergraduatecourses/lawwithpolitics/#foundationyear</x:v>
      </x:c>
      <x:c r="M234" s="33" t="str">
        <x:v>Yes</x:v>
      </x:c>
      <x:c r="N234" s="38" t="n">
        <x:v>46195</x:v>
      </x:c>
      <x:c r="O234" s="35" t="str">
        <x:v>Clearing content team</x:v>
      </x:c>
      <x:c r="P234" s="35" t="str">
        <x:v>Initial import from Clearing vacancies and ER page for 2026.docx</x:v>
      </x:c>
      <x:c r="Q234" s="36" t="str">
        <x:f>IF(A234="","Missing ID",IF(COUNTIF($A$5:$A$1000,A234)&gt;1,"Duplicate ID",IF(C234="","Missing title",IF(D234="","Missing type",IF(E234="","Missing availability",IF(H234="","Missing offer",IF(L234="","Missing course URL",IF(ISERROR(SEARCH("https://www.keele.ac.uk/",L234)),"Non-Keele URL",IF(AND(D234="Foundation year",ISERROR(SEARCH("#foundationyear",L234))),"FY URL missing #foundationyear",IF(M234="","Missing display status",IF(N234="","Missing review date",IF(O234="","Missing owner",IF(P234="","Missing change note","OK")))))))))))))</x:f>
        <x:v>OK</x:v>
      </x:c>
    </x:row>
    <x:row r="235">
      <x:c r="A235" s="33" t="str">
        <x:v>2026-M101-UG</x:v>
      </x:c>
      <x:c r="B235" s="37" t="n">
        <x:v>2026</x:v>
      </x:c>
      <x:c r="C235" s="35" t="str">
        <x:v>Law with Professional Legal Practice</x:v>
      </x:c>
      <x:c r="D235" s="33" t="str">
        <x:v>Undergraduate</x:v>
      </x:c>
      <x:c r="E235" s="33" t="str">
        <x:v>Vacancies</x:v>
      </x:c>
      <x:c r="F235" s="33" t="str">
        <x:v>M101</x:v>
      </x:c>
      <x:c r="G235" s="33" t="str">
        <x:v>LLB (Hons)</x:v>
      </x:c>
      <x:c r="H235" s="35" t="str">
        <x:v>64 UCAS tariff points</x:v>
      </x:c>
      <x:c r="I235" s="35" t="str">
        <x:v>No</x:v>
      </x:c>
      <x:c r="J235" s="35" t="str">
        <x:v>Most undergraduate courses require GCSE English Language at grade 4/C or equivalent. Some courses also require GCSE Mathematics at grade 4/C or equivalent.</x:v>
      </x:c>
      <x:c r="K235" s="35" t="str">
        <x:v>https://www.keele.ac.uk/clearing/entry-requirements/</x:v>
      </x:c>
      <x:c r="L235" s="35" t="str">
        <x:v>https://www.keele.ac.uk/study/undergraduate-2026/undergraduatecourses/lawwithprofessionallegalpractice/</x:v>
      </x:c>
      <x:c r="M235" s="33" t="str">
        <x:v>Yes</x:v>
      </x:c>
      <x:c r="N235" s="38" t="n">
        <x:v>46195</x:v>
      </x:c>
      <x:c r="O235" s="35" t="str">
        <x:v>Clearing content team</x:v>
      </x:c>
      <x:c r="P235" s="35" t="str">
        <x:v>Initial import from Clearing vacancies and ER page for 2026.docx</x:v>
      </x:c>
      <x:c r="Q235" s="36" t="str">
        <x:f>IF(A235="","Missing ID",IF(COUNTIF($A$5:$A$1000,A235)&gt;1,"Duplicate ID",IF(C235="","Missing title",IF(D235="","Missing type",IF(E235="","Missing availability",IF(H235="","Missing offer",IF(L235="","Missing course URL",IF(ISERROR(SEARCH("https://www.keele.ac.uk/",L235)),"Non-Keele URL",IF(AND(D235="Foundation year",ISERROR(SEARCH("#foundationyear",L235))),"FY URL missing #foundationyear",IF(M235="","Missing display status",IF(N235="","Missing review date",IF(O235="","Missing owner",IF(P235="","Missing change note","OK")))))))))))))</x:f>
        <x:v>OK</x:v>
      </x:c>
    </x:row>
    <x:row r="236">
      <x:c r="A236" s="33" t="str">
        <x:v>2026-lawwithprofessionallegalpractice-FY</x:v>
      </x:c>
      <x:c r="B236" s="37" t="n">
        <x:v>2026</x:v>
      </x:c>
      <x:c r="C236" s="35" t="str">
        <x:v>Law with Professional Legal Practice with Foundation Year</x:v>
      </x:c>
      <x:c r="D236" s="33" t="str">
        <x:v>Foundation year</x:v>
      </x:c>
      <x:c r="E236" s="33" t="str">
        <x:v>Vacancies</x:v>
      </x:c>
      <x:c r="F236" s="33" t="str"/>
      <x:c r="G236" s="33" t="str"/>
      <x:c r="H236" s="35" t="str">
        <x:v>Course-specific</x:v>
      </x:c>
      <x:c r="I236" s="35" t="str">
        <x:v>No</x:v>
      </x:c>
      <x:c r="J236" s="35" t="str">
        <x:v>Foundation Year requirements vary by course. View the full course details or call 01782 491120 to discuss your qualifications.</x:v>
      </x:c>
      <x:c r="K236" s="35" t="str">
        <x:v>https://www.keele.ac.uk/clearing/entry-requirements/</x:v>
      </x:c>
      <x:c r="L236" s="35" t="str">
        <x:v>https://www.keele.ac.uk/study/undergraduate-2026/undergraduatecourses/lawwithprofessionallegalpractice/#foundationyear</x:v>
      </x:c>
      <x:c r="M236" s="33" t="str">
        <x:v>Yes</x:v>
      </x:c>
      <x:c r="N236" s="38" t="n">
        <x:v>46195</x:v>
      </x:c>
      <x:c r="O236" s="35" t="str">
        <x:v>Clearing content team</x:v>
      </x:c>
      <x:c r="P236" s="35" t="str">
        <x:v>Initial import from Clearing vacancies and ER page for 2026.docx</x:v>
      </x:c>
      <x:c r="Q236" s="36" t="str">
        <x:f>IF(A236="","Missing ID",IF(COUNTIF($A$5:$A$1000,A236)&gt;1,"Duplicate ID",IF(C236="","Missing title",IF(D236="","Missing type",IF(E236="","Missing availability",IF(H236="","Missing offer",IF(L236="","Missing course URL",IF(ISERROR(SEARCH("https://www.keele.ac.uk/",L236)),"Non-Keele URL",IF(AND(D236="Foundation year",ISERROR(SEARCH("#foundationyear",L236))),"FY URL missing #foundationyear",IF(M236="","Missing display status",IF(N236="","Missing review date",IF(O236="","Missing owner",IF(P236="","Missing change note","OK")))))))))))))</x:f>
        <x:v>OK</x:v>
      </x:c>
    </x:row>
    <x:row r="237">
      <x:c r="A237" s="33" t="str">
        <x:v>2026-N500-UG</x:v>
      </x:c>
      <x:c r="B237" s="37" t="n">
        <x:v>2026</x:v>
      </x:c>
      <x:c r="C237" s="35" t="str">
        <x:v>Marketing</x:v>
      </x:c>
      <x:c r="D237" s="33" t="str">
        <x:v>Undergraduate</x:v>
      </x:c>
      <x:c r="E237" s="33" t="str">
        <x:v>Vacancies</x:v>
      </x:c>
      <x:c r="F237" s="33" t="str">
        <x:v>N500</x:v>
      </x:c>
      <x:c r="G237" s="33" t="str">
        <x:v>BA (Hons)</x:v>
      </x:c>
      <x:c r="H237" s="35" t="str">
        <x:v>64 UCAS tariff points</x:v>
      </x:c>
      <x:c r="I237" s="35" t="str">
        <x:v>No</x:v>
      </x:c>
      <x:c r="J237" s="35" t="str">
        <x:v>Most undergraduate courses require GCSE English Language at grade 4/C or equivalent. Some courses also require GCSE Mathematics at grade 4/C or equivalent.</x:v>
      </x:c>
      <x:c r="K237" s="35" t="str">
        <x:v>https://www.keele.ac.uk/clearing/entry-requirements/</x:v>
      </x:c>
      <x:c r="L237" s="35" t="str">
        <x:v>https://www.keele.ac.uk/study/undergraduate-2026/undergraduatecourses/marketing/</x:v>
      </x:c>
      <x:c r="M237" s="33" t="str">
        <x:v>Yes</x:v>
      </x:c>
      <x:c r="N237" s="38" t="n">
        <x:v>46195</x:v>
      </x:c>
      <x:c r="O237" s="35" t="str">
        <x:v>Clearing content team</x:v>
      </x:c>
      <x:c r="P237" s="35" t="str">
        <x:v>Initial import from Clearing vacancies and ER page for 2026.docx</x:v>
      </x:c>
      <x:c r="Q237" s="36" t="str">
        <x:f>IF(A237="","Missing ID",IF(COUNTIF($A$5:$A$1000,A237)&gt;1,"Duplicate ID",IF(C237="","Missing title",IF(D237="","Missing type",IF(E237="","Missing availability",IF(H237="","Missing offer",IF(L237="","Missing course URL",IF(ISERROR(SEARCH("https://www.keele.ac.uk/",L237)),"Non-Keele URL",IF(AND(D237="Foundation year",ISERROR(SEARCH("#foundationyear",L237))),"FY URL missing #foundationyear",IF(M237="","Missing display status",IF(N237="","Missing review date",IF(O237="","Missing owner",IF(P237="","Missing change note","OK")))))))))))))</x:f>
        <x:v>OK</x:v>
      </x:c>
    </x:row>
    <x:row r="238">
      <x:c r="A238" s="33" t="str">
        <x:v>2026-marketing-FY</x:v>
      </x:c>
      <x:c r="B238" s="37" t="n">
        <x:v>2026</x:v>
      </x:c>
      <x:c r="C238" s="35" t="str">
        <x:v>Marketing with Foundation Year</x:v>
      </x:c>
      <x:c r="D238" s="33" t="str">
        <x:v>Foundation year</x:v>
      </x:c>
      <x:c r="E238" s="33" t="str">
        <x:v>Vacancies</x:v>
      </x:c>
      <x:c r="F238" s="33" t="str"/>
      <x:c r="G238" s="33" t="str"/>
      <x:c r="H238" s="35" t="str">
        <x:v>Course-specific</x:v>
      </x:c>
      <x:c r="I238" s="35" t="str">
        <x:v>No</x:v>
      </x:c>
      <x:c r="J238" s="35" t="str">
        <x:v>Foundation Year requirements vary by course. View the full course details or call 01782 491120 to discuss your qualifications.</x:v>
      </x:c>
      <x:c r="K238" s="35" t="str">
        <x:v>https://www.keele.ac.uk/clearing/entry-requirements/</x:v>
      </x:c>
      <x:c r="L238" s="35" t="str">
        <x:v>https://www.keele.ac.uk/study/undergraduate-2026/undergraduatecourses/marketing/#foundationyear</x:v>
      </x:c>
      <x:c r="M238" s="33" t="str">
        <x:v>Yes</x:v>
      </x:c>
      <x:c r="N238" s="38" t="n">
        <x:v>46195</x:v>
      </x:c>
      <x:c r="O238" s="35" t="str">
        <x:v>Clearing content team</x:v>
      </x:c>
      <x:c r="P238" s="35" t="str">
        <x:v>Initial import from Clearing vacancies and ER page for 2026.docx</x:v>
      </x:c>
      <x:c r="Q238" s="36" t="str">
        <x:f>IF(A238="","Missing ID",IF(COUNTIF($A$5:$A$1000,A238)&gt;1,"Duplicate ID",IF(C238="","Missing title",IF(D238="","Missing type",IF(E238="","Missing availability",IF(H238="","Missing offer",IF(L238="","Missing course URL",IF(ISERROR(SEARCH("https://www.keele.ac.uk/",L238)),"Non-Keele URL",IF(AND(D238="Foundation year",ISERROR(SEARCH("#foundationyear",L238))),"FY URL missing #foundationyear",IF(M238="","Missing display status",IF(N238="","Missing review date",IF(O238="","Missing owner",IF(P238="","Missing change note","OK")))))))))))))</x:f>
        <x:v>OK</x:v>
      </x:c>
    </x:row>
    <x:row r="239">
      <x:c r="A239" s="33" t="str">
        <x:v>2026-G100-UG</x:v>
      </x:c>
      <x:c r="B239" s="37" t="n">
        <x:v>2026</x:v>
      </x:c>
      <x:c r="C239" s="35" t="str">
        <x:v>Mathematics</x:v>
      </x:c>
      <x:c r="D239" s="33" t="str">
        <x:v>Undergraduate</x:v>
      </x:c>
      <x:c r="E239" s="33" t="str">
        <x:v>Vacancies</x:v>
      </x:c>
      <x:c r="F239" s="33" t="str">
        <x:v>G100</x:v>
      </x:c>
      <x:c r="G239" s="33" t="str">
        <x:v>BSc (Hons)</x:v>
      </x:c>
      <x:c r="H239" s="35" t="str">
        <x:v>64 UCAS tariff points</x:v>
      </x:c>
      <x:c r="I239" s="35" t="str">
        <x:v>Yes</x:v>
      </x:c>
      <x:c r="J239" s="35" t="str">
        <x:v>This course has additional subject-specific requirements. View the full course details or contact Admissions before applying.</x:v>
      </x:c>
      <x:c r="K239" s="35" t="str">
        <x:v>https://www.keele.ac.uk/clearing/entry-requirements/</x:v>
      </x:c>
      <x:c r="L239" s="35" t="str">
        <x:v>https://www.keele.ac.uk/study/undergraduate-2026/undergraduatecourses/mathematics/</x:v>
      </x:c>
      <x:c r="M239" s="33" t="str">
        <x:v>Yes</x:v>
      </x:c>
      <x:c r="N239" s="38" t="n">
        <x:v>46195</x:v>
      </x:c>
      <x:c r="O239" s="35" t="str">
        <x:v>Clearing content team</x:v>
      </x:c>
      <x:c r="P239" s="35" t="str">
        <x:v>Initial import from Clearing vacancies and ER page for 2026.docx</x:v>
      </x:c>
      <x:c r="Q239" s="36" t="str">
        <x:f>IF(A239="","Missing ID",IF(COUNTIF($A$5:$A$1000,A239)&gt;1,"Duplicate ID",IF(C239="","Missing title",IF(D239="","Missing type",IF(E239="","Missing availability",IF(H239="","Missing offer",IF(L239="","Missing course URL",IF(ISERROR(SEARCH("https://www.keele.ac.uk/",L239)),"Non-Keele URL",IF(AND(D239="Foundation year",ISERROR(SEARCH("#foundationyear",L239))),"FY URL missing #foundationyear",IF(M239="","Missing display status",IF(N239="","Missing review date",IF(O239="","Missing owner",IF(P239="","Missing change note","OK")))))))))))))</x:f>
        <x:v>OK</x:v>
      </x:c>
    </x:row>
    <x:row r="240">
      <x:c r="A240" s="33" t="str">
        <x:v>2026-G110-UG</x:v>
      </x:c>
      <x:c r="B240" s="37" t="n">
        <x:v>2026</x:v>
      </x:c>
      <x:c r="C240" s="35" t="str">
        <x:v>Mathematics (Applied Mathematics)</x:v>
      </x:c>
      <x:c r="D240" s="33" t="str">
        <x:v>Undergraduate</x:v>
      </x:c>
      <x:c r="E240" s="33" t="str">
        <x:v>Vacancies</x:v>
      </x:c>
      <x:c r="F240" s="33" t="str">
        <x:v>G110</x:v>
      </x:c>
      <x:c r="G240" s="33" t="str">
        <x:v>BSc (Hons)</x:v>
      </x:c>
      <x:c r="H240" s="35" t="str">
        <x:v>64 UCAS tariff points</x:v>
      </x:c>
      <x:c r="I240" s="35" t="str">
        <x:v>Yes</x:v>
      </x:c>
      <x:c r="J240" s="35" t="str">
        <x:v>This course has additional subject-specific requirements. View the full course details or contact Admissions before applying.</x:v>
      </x:c>
      <x:c r="K240" s="35" t="str">
        <x:v>https://www.keele.ac.uk/clearing/entry-requirements/</x:v>
      </x:c>
      <x:c r="L240" s="35" t="str">
        <x:v>https://www.keele.ac.uk/study/undergraduate-2026/undergraduatecourses/mathematicsappliedmathematics/</x:v>
      </x:c>
      <x:c r="M240" s="33" t="str">
        <x:v>Yes</x:v>
      </x:c>
      <x:c r="N240" s="38" t="n">
        <x:v>46195</x:v>
      </x:c>
      <x:c r="O240" s="35" t="str">
        <x:v>Clearing content team</x:v>
      </x:c>
      <x:c r="P240" s="35" t="str">
        <x:v>Initial import from Clearing vacancies and ER page for 2026.docx</x:v>
      </x:c>
      <x:c r="Q240" s="36" t="str">
        <x:f>IF(A240="","Missing ID",IF(COUNTIF($A$5:$A$1000,A240)&gt;1,"Duplicate ID",IF(C240="","Missing title",IF(D240="","Missing type",IF(E240="","Missing availability",IF(H240="","Missing offer",IF(L240="","Missing course URL",IF(ISERROR(SEARCH("https://www.keele.ac.uk/",L240)),"Non-Keele URL",IF(AND(D240="Foundation year",ISERROR(SEARCH("#foundationyear",L240))),"FY URL missing #foundationyear",IF(M240="","Missing display status",IF(N240="","Missing review date",IF(O240="","Missing owner",IF(P240="","Missing change note","OK")))))))))))))</x:f>
        <x:v>OK</x:v>
      </x:c>
    </x:row>
    <x:row r="241">
      <x:c r="A241" s="33" t="str">
        <x:v>2026-mathematicsappliedmathematics-FY</x:v>
      </x:c>
      <x:c r="B241" s="37" t="n">
        <x:v>2026</x:v>
      </x:c>
      <x:c r="C241" s="35" t="str">
        <x:v>Mathematics (Applied Mathematics) with Foundation Year</x:v>
      </x:c>
      <x:c r="D241" s="33" t="str">
        <x:v>Foundation year</x:v>
      </x:c>
      <x:c r="E241" s="33" t="str">
        <x:v>Vacancies</x:v>
      </x:c>
      <x:c r="F241" s="33" t="str"/>
      <x:c r="G241" s="33" t="str"/>
      <x:c r="H241" s="35" t="str">
        <x:v>Course-specific</x:v>
      </x:c>
      <x:c r="I241" s="35" t="str">
        <x:v>No</x:v>
      </x:c>
      <x:c r="J241" s="35" t="str">
        <x:v>Foundation Year requirements vary by course. View the full course details or call 01782 491120 to discuss your qualifications.</x:v>
      </x:c>
      <x:c r="K241" s="35" t="str">
        <x:v>https://www.keele.ac.uk/clearing/entry-requirements/</x:v>
      </x:c>
      <x:c r="L241" s="35" t="str">
        <x:v>https://www.keele.ac.uk/study/undergraduate-2026/undergraduatecourses/mathematicsappliedmathematics/#foundationyear</x:v>
      </x:c>
      <x:c r="M241" s="33" t="str">
        <x:v>Yes</x:v>
      </x:c>
      <x:c r="N241" s="38" t="n">
        <x:v>46195</x:v>
      </x:c>
      <x:c r="O241" s="35" t="str">
        <x:v>Clearing content team</x:v>
      </x:c>
      <x:c r="P241" s="35" t="str">
        <x:v>Initial import from Clearing vacancies and ER page for 2026.docx</x:v>
      </x:c>
      <x:c r="Q241" s="36" t="str">
        <x:f>IF(A241="","Missing ID",IF(COUNTIF($A$5:$A$1000,A241)&gt;1,"Duplicate ID",IF(C241="","Missing title",IF(D241="","Missing type",IF(E241="","Missing availability",IF(H241="","Missing offer",IF(L241="","Missing course URL",IF(ISERROR(SEARCH("https://www.keele.ac.uk/",L241)),"Non-Keele URL",IF(AND(D241="Foundation year",ISERROR(SEARCH("#foundationyear",L241))),"FY URL missing #foundationyear",IF(M241="","Missing display status",IF(N241="","Missing review date",IF(O241="","Missing owner",IF(P241="","Missing change note","OK")))))))))))))</x:f>
        <x:v>OK</x:v>
      </x:c>
    </x:row>
    <x:row r="242">
      <x:c r="A242" s="33" t="str">
        <x:v>2026-G112-UG</x:v>
      </x:c>
      <x:c r="B242" s="37" t="n">
        <x:v>2026</x:v>
      </x:c>
      <x:c r="C242" s="35" t="str">
        <x:v>Mathematics (Pure Mathematics)</x:v>
      </x:c>
      <x:c r="D242" s="33" t="str">
        <x:v>Undergraduate</x:v>
      </x:c>
      <x:c r="E242" s="33" t="str">
        <x:v>Vacancies</x:v>
      </x:c>
      <x:c r="F242" s="33" t="str">
        <x:v>G112</x:v>
      </x:c>
      <x:c r="G242" s="33" t="str">
        <x:v>BSc (Hons)</x:v>
      </x:c>
      <x:c r="H242" s="35" t="str">
        <x:v>64 UCAS tariff points</x:v>
      </x:c>
      <x:c r="I242" s="35" t="str">
        <x:v>Yes</x:v>
      </x:c>
      <x:c r="J242" s="35" t="str">
        <x:v>This course has additional subject-specific requirements. View the full course details or contact Admissions before applying.</x:v>
      </x:c>
      <x:c r="K242" s="35" t="str">
        <x:v>https://www.keele.ac.uk/clearing/entry-requirements/</x:v>
      </x:c>
      <x:c r="L242" s="35" t="str">
        <x:v>https://www.keele.ac.uk/study/undergraduate-2026/undergraduatecourses/mathematicspuremathematics/</x:v>
      </x:c>
      <x:c r="M242" s="33" t="str">
        <x:v>Yes</x:v>
      </x:c>
      <x:c r="N242" s="38" t="n">
        <x:v>46195</x:v>
      </x:c>
      <x:c r="O242" s="35" t="str">
        <x:v>Clearing content team</x:v>
      </x:c>
      <x:c r="P242" s="35" t="str">
        <x:v>Initial import from Clearing vacancies and ER page for 2026.docx</x:v>
      </x:c>
      <x:c r="Q242" s="36" t="str">
        <x:f>IF(A242="","Missing ID",IF(COUNTIF($A$5:$A$1000,A242)&gt;1,"Duplicate ID",IF(C242="","Missing title",IF(D242="","Missing type",IF(E242="","Missing availability",IF(H242="","Missing offer",IF(L242="","Missing course URL",IF(ISERROR(SEARCH("https://www.keele.ac.uk/",L242)),"Non-Keele URL",IF(AND(D242="Foundation year",ISERROR(SEARCH("#foundationyear",L242))),"FY URL missing #foundationyear",IF(M242="","Missing display status",IF(N242="","Missing review date",IF(O242="","Missing owner",IF(P242="","Missing change note","OK")))))))))))))</x:f>
        <x:v>OK</x:v>
      </x:c>
    </x:row>
    <x:row r="243">
      <x:c r="A243" s="33" t="str">
        <x:v>2026-mathematicspuremathematics-FY</x:v>
      </x:c>
      <x:c r="B243" s="37" t="n">
        <x:v>2026</x:v>
      </x:c>
      <x:c r="C243" s="35" t="str">
        <x:v>Mathematics (Pure Mathematics) with Foundation Year</x:v>
      </x:c>
      <x:c r="D243" s="33" t="str">
        <x:v>Foundation year</x:v>
      </x:c>
      <x:c r="E243" s="33" t="str">
        <x:v>Vacancies</x:v>
      </x:c>
      <x:c r="F243" s="33" t="str"/>
      <x:c r="G243" s="33" t="str"/>
      <x:c r="H243" s="35" t="str">
        <x:v>Course-specific</x:v>
      </x:c>
      <x:c r="I243" s="35" t="str">
        <x:v>No</x:v>
      </x:c>
      <x:c r="J243" s="35" t="str">
        <x:v>Foundation Year requirements vary by course. View the full course details or call 01782 491120 to discuss your qualifications.</x:v>
      </x:c>
      <x:c r="K243" s="35" t="str">
        <x:v>https://www.keele.ac.uk/clearing/entry-requirements/</x:v>
      </x:c>
      <x:c r="L243" s="35" t="str">
        <x:v>https://www.keele.ac.uk/study/undergraduate-2026/undergraduatecourses/mathematicspuremathematics/#foundationyear</x:v>
      </x:c>
      <x:c r="M243" s="33" t="str">
        <x:v>Yes</x:v>
      </x:c>
      <x:c r="N243" s="38" t="n">
        <x:v>46195</x:v>
      </x:c>
      <x:c r="O243" s="35" t="str">
        <x:v>Clearing content team</x:v>
      </x:c>
      <x:c r="P243" s="35" t="str">
        <x:v>Initial import from Clearing vacancies and ER page for 2026.docx</x:v>
      </x:c>
      <x:c r="Q243" s="36" t="str">
        <x:f>IF(A243="","Missing ID",IF(COUNTIF($A$5:$A$1000,A243)&gt;1,"Duplicate ID",IF(C243="","Missing title",IF(D243="","Missing type",IF(E243="","Missing availability",IF(H243="","Missing offer",IF(L243="","Missing course URL",IF(ISERROR(SEARCH("https://www.keele.ac.uk/",L243)),"Non-Keele URL",IF(AND(D243="Foundation year",ISERROR(SEARCH("#foundationyear",L243))),"FY URL missing #foundationyear",IF(M243="","Missing display status",IF(N243="","Missing review date",IF(O243="","Missing owner",IF(P243="","Missing change note","OK")))))))))))))</x:f>
        <x:v>OK</x:v>
      </x:c>
    </x:row>
    <x:row r="244">
      <x:c r="A244" s="33" t="str">
        <x:v>2026-G111-UG</x:v>
      </x:c>
      <x:c r="B244" s="37" t="n">
        <x:v>2026</x:v>
      </x:c>
      <x:c r="C244" s="35" t="str">
        <x:v>Mathematics (with Statistics)</x:v>
      </x:c>
      <x:c r="D244" s="33" t="str">
        <x:v>Undergraduate</x:v>
      </x:c>
      <x:c r="E244" s="33" t="str">
        <x:v>Vacancies</x:v>
      </x:c>
      <x:c r="F244" s="33" t="str">
        <x:v>G111</x:v>
      </x:c>
      <x:c r="G244" s="33" t="str">
        <x:v>BSc (Hons)</x:v>
      </x:c>
      <x:c r="H244" s="35" t="str">
        <x:v>64 UCAS tariff points</x:v>
      </x:c>
      <x:c r="I244" s="35" t="str">
        <x:v>Yes</x:v>
      </x:c>
      <x:c r="J244" s="35" t="str">
        <x:v>This course has additional subject-specific requirements. View the full course details or contact Admissions before applying.</x:v>
      </x:c>
      <x:c r="K244" s="35" t="str">
        <x:v>https://www.keele.ac.uk/clearing/entry-requirements/</x:v>
      </x:c>
      <x:c r="L244" s="35" t="str">
        <x:v>https://www.keele.ac.uk/study/undergraduate-2026/undergraduatecourses/mathematicswithstatistics/</x:v>
      </x:c>
      <x:c r="M244" s="33" t="str">
        <x:v>Yes</x:v>
      </x:c>
      <x:c r="N244" s="38" t="n">
        <x:v>46195</x:v>
      </x:c>
      <x:c r="O244" s="35" t="str">
        <x:v>Clearing content team</x:v>
      </x:c>
      <x:c r="P244" s="35" t="str">
        <x:v>Initial import from Clearing vacancies and ER page for 2026.docx</x:v>
      </x:c>
      <x:c r="Q244" s="36" t="str">
        <x:f>IF(A244="","Missing ID",IF(COUNTIF($A$5:$A$1000,A244)&gt;1,"Duplicate ID",IF(C244="","Missing title",IF(D244="","Missing type",IF(E244="","Missing availability",IF(H244="","Missing offer",IF(L244="","Missing course URL",IF(ISERROR(SEARCH("https://www.keele.ac.uk/",L244)),"Non-Keele URL",IF(AND(D244="Foundation year",ISERROR(SEARCH("#foundationyear",L244))),"FY URL missing #foundationyear",IF(M244="","Missing display status",IF(N244="","Missing review date",IF(O244="","Missing owner",IF(P244="","Missing change note","OK")))))))))))))</x:f>
        <x:v>OK</x:v>
      </x:c>
    </x:row>
    <x:row r="245">
      <x:c r="A245" s="33" t="str">
        <x:v>2026-mathematicswithstatistics-FY</x:v>
      </x:c>
      <x:c r="B245" s="37" t="n">
        <x:v>2026</x:v>
      </x:c>
      <x:c r="C245" s="35" t="str">
        <x:v>Mathematics (with Statistics) with Foundation Year</x:v>
      </x:c>
      <x:c r="D245" s="33" t="str">
        <x:v>Foundation year</x:v>
      </x:c>
      <x:c r="E245" s="33" t="str">
        <x:v>Vacancies</x:v>
      </x:c>
      <x:c r="F245" s="33" t="str"/>
      <x:c r="G245" s="33" t="str"/>
      <x:c r="H245" s="35" t="str">
        <x:v>Course-specific</x:v>
      </x:c>
      <x:c r="I245" s="35" t="str">
        <x:v>No</x:v>
      </x:c>
      <x:c r="J245" s="35" t="str">
        <x:v>Foundation Year requirements vary by course. View the full course details or call 01782 491120 to discuss your qualifications.</x:v>
      </x:c>
      <x:c r="K245" s="35" t="str">
        <x:v>https://www.keele.ac.uk/clearing/entry-requirements/</x:v>
      </x:c>
      <x:c r="L245" s="35" t="str">
        <x:v>https://www.keele.ac.uk/study/undergraduate-2026/undergraduatecourses/mathematicswithstatistics/#foundationyear</x:v>
      </x:c>
      <x:c r="M245" s="33" t="str">
        <x:v>Yes</x:v>
      </x:c>
      <x:c r="N245" s="38" t="n">
        <x:v>46195</x:v>
      </x:c>
      <x:c r="O245" s="35" t="str">
        <x:v>Clearing content team</x:v>
      </x:c>
      <x:c r="P245" s="35" t="str">
        <x:v>Initial import from Clearing vacancies and ER page for 2026.docx</x:v>
      </x:c>
      <x:c r="Q245" s="36" t="str">
        <x:f>IF(A245="","Missing ID",IF(COUNTIF($A$5:$A$1000,A245)&gt;1,"Duplicate ID",IF(C245="","Missing title",IF(D245="","Missing type",IF(E245="","Missing availability",IF(H245="","Missing offer",IF(L245="","Missing course URL",IF(ISERROR(SEARCH("https://www.keele.ac.uk/",L245)),"Non-Keele URL",IF(AND(D245="Foundation year",ISERROR(SEARCH("#foundationyear",L245))),"FY URL missing #foundationyear",IF(M245="","Missing display status",IF(N245="","Missing review date",IF(O245="","Missing owner",IF(P245="","Missing change note","OK")))))))))))))</x:f>
        <x:v>OK</x:v>
      </x:c>
    </x:row>
    <x:row r="246">
      <x:c r="A246" s="33" t="str">
        <x:v>2026-mathematics-FY</x:v>
      </x:c>
      <x:c r="B246" s="37" t="n">
        <x:v>2026</x:v>
      </x:c>
      <x:c r="C246" s="35" t="str">
        <x:v>Mathematics with Foundation Year</x:v>
      </x:c>
      <x:c r="D246" s="33" t="str">
        <x:v>Foundation year</x:v>
      </x:c>
      <x:c r="E246" s="33" t="str">
        <x:v>Vacancies</x:v>
      </x:c>
      <x:c r="F246" s="33" t="str"/>
      <x:c r="G246" s="33" t="str"/>
      <x:c r="H246" s="35" t="str">
        <x:v>Course-specific</x:v>
      </x:c>
      <x:c r="I246" s="35" t="str">
        <x:v>No</x:v>
      </x:c>
      <x:c r="J246" s="35" t="str">
        <x:v>Foundation Year requirements vary by course. View the full course details or call 01782 491120 to discuss your qualifications.</x:v>
      </x:c>
      <x:c r="K246" s="35" t="str">
        <x:v>https://www.keele.ac.uk/clearing/entry-requirements/</x:v>
      </x:c>
      <x:c r="L246" s="35" t="str">
        <x:v>https://www.keele.ac.uk/study/undergraduate-2026/undergraduatecourses/mathematics/#foundationyear</x:v>
      </x:c>
      <x:c r="M246" s="33" t="str">
        <x:v>Yes</x:v>
      </x:c>
      <x:c r="N246" s="38" t="n">
        <x:v>46195</x:v>
      </x:c>
      <x:c r="O246" s="35" t="str">
        <x:v>Clearing content team</x:v>
      </x:c>
      <x:c r="P246" s="35" t="str">
        <x:v>Initial import from Clearing vacancies and ER page for 2026.docx</x:v>
      </x:c>
      <x:c r="Q246" s="36" t="str">
        <x:f>IF(A246="","Missing ID",IF(COUNTIF($A$5:$A$1000,A246)&gt;1,"Duplicate ID",IF(C246="","Missing title",IF(D246="","Missing type",IF(E246="","Missing availability",IF(H246="","Missing offer",IF(L246="","Missing course URL",IF(ISERROR(SEARCH("https://www.keele.ac.uk/",L246)),"Non-Keele URL",IF(AND(D246="Foundation year",ISERROR(SEARCH("#foundationyear",L246))),"FY URL missing #foundationyear",IF(M246="","Missing display status",IF(N246="","Missing review date",IF(O246="","Missing owner",IF(P246="","Missing change note","OK")))))))))))))</x:f>
        <x:v>OK</x:v>
      </x:c>
    </x:row>
    <x:row r="247">
      <x:c r="A247" s="33" t="str">
        <x:v>2026-G103-UG</x:v>
      </x:c>
      <x:c r="B247" s="37" t="n">
        <x:v>2026</x:v>
      </x:c>
      <x:c r="C247" s="35" t="str">
        <x:v>Mathematics with Integrated Master's</x:v>
      </x:c>
      <x:c r="D247" s="33" t="str">
        <x:v>Undergraduate</x:v>
      </x:c>
      <x:c r="E247" s="33" t="str">
        <x:v>Vacancies</x:v>
      </x:c>
      <x:c r="F247" s="33" t="str">
        <x:v>G103</x:v>
      </x:c>
      <x:c r="G247" s="33" t="str">
        <x:v>MMath</x:v>
      </x:c>
      <x:c r="H247" s="35" t="str">
        <x:v>64 UCAS tariff points</x:v>
      </x:c>
      <x:c r="I247" s="35" t="str">
        <x:v>Yes</x:v>
      </x:c>
      <x:c r="J247" s="35" t="str">
        <x:v>This course has additional subject-specific requirements. View the full course details or contact Admissions before applying.</x:v>
      </x:c>
      <x:c r="K247" s="35" t="str">
        <x:v>https://www.keele.ac.uk/clearing/entry-requirements/</x:v>
      </x:c>
      <x:c r="L247" s="35" t="str">
        <x:v>https://www.keele.ac.uk/study/undergraduate-2026/undergraduatecourses/mathematicswithintegratedmasters/</x:v>
      </x:c>
      <x:c r="M247" s="33" t="str">
        <x:v>Yes</x:v>
      </x:c>
      <x:c r="N247" s="38" t="n">
        <x:v>46195</x:v>
      </x:c>
      <x:c r="O247" s="35" t="str">
        <x:v>Clearing content team</x:v>
      </x:c>
      <x:c r="P247" s="35" t="str">
        <x:v>Initial import from Clearing vacancies and ER page for 2026.docx</x:v>
      </x:c>
      <x:c r="Q247" s="36" t="str">
        <x:f>IF(A247="","Missing ID",IF(COUNTIF($A$5:$A$1000,A247)&gt;1,"Duplicate ID",IF(C247="","Missing title",IF(D247="","Missing type",IF(E247="","Missing availability",IF(H247="","Missing offer",IF(L247="","Missing course URL",IF(ISERROR(SEARCH("https://www.keele.ac.uk/",L247)),"Non-Keele URL",IF(AND(D247="Foundation year",ISERROR(SEARCH("#foundationyear",L247))),"FY URL missing #foundationyear",IF(M247="","Missing display status",IF(N247="","Missing review date",IF(O247="","Missing owner",IF(P247="","Missing change note","OK")))))))))))))</x:f>
        <x:v>OK</x:v>
      </x:c>
    </x:row>
    <x:row r="248">
      <x:c r="A248" s="33" t="str">
        <x:v>2026-mathematicswithintegratedmasters-FY</x:v>
      </x:c>
      <x:c r="B248" s="37" t="n">
        <x:v>2026</x:v>
      </x:c>
      <x:c r="C248" s="35" t="str">
        <x:v>Mathematics with Integrated Master's with Foundation Year</x:v>
      </x:c>
      <x:c r="D248" s="33" t="str">
        <x:v>Foundation year</x:v>
      </x:c>
      <x:c r="E248" s="33" t="str">
        <x:v>Vacancies</x:v>
      </x:c>
      <x:c r="F248" s="33" t="str"/>
      <x:c r="G248" s="33" t="str"/>
      <x:c r="H248" s="35" t="str">
        <x:v>Course-specific</x:v>
      </x:c>
      <x:c r="I248" s="35" t="str">
        <x:v>No</x:v>
      </x:c>
      <x:c r="J248" s="35" t="str">
        <x:v>Foundation Year requirements vary by course. View the full course details or call 01782 491120 to discuss your qualifications.</x:v>
      </x:c>
      <x:c r="K248" s="35" t="str">
        <x:v>https://www.keele.ac.uk/clearing/entry-requirements/</x:v>
      </x:c>
      <x:c r="L248" s="35" t="str">
        <x:v>https://www.keele.ac.uk/study/undergraduate-2026/undergraduatecourses/mathematicswithintegratedmasters/#foundationyear</x:v>
      </x:c>
      <x:c r="M248" s="33" t="str">
        <x:v>Yes</x:v>
      </x:c>
      <x:c r="N248" s="38" t="n">
        <x:v>46195</x:v>
      </x:c>
      <x:c r="O248" s="35" t="str">
        <x:v>Clearing content team</x:v>
      </x:c>
      <x:c r="P248" s="35" t="str">
        <x:v>Initial import from Clearing vacancies and ER page for 2026.docx</x:v>
      </x:c>
      <x:c r="Q248" s="36" t="str">
        <x:f>IF(A248="","Missing ID",IF(COUNTIF($A$5:$A$1000,A248)&gt;1,"Duplicate ID",IF(C248="","Missing title",IF(D248="","Missing type",IF(E248="","Missing availability",IF(H248="","Missing offer",IF(L248="","Missing course URL",IF(ISERROR(SEARCH("https://www.keele.ac.uk/",L248)),"Non-Keele URL",IF(AND(D248="Foundation year",ISERROR(SEARCH("#foundationyear",L248))),"FY URL missing #foundationyear",IF(M248="","Missing display status",IF(N248="","Missing review date",IF(O248="","Missing owner",IF(P248="","Missing change note","OK")))))))))))))</x:f>
        <x:v>OK</x:v>
      </x:c>
    </x:row>
    <x:row r="249">
      <x:c r="A249" s="33" t="str">
        <x:v>2026-H300-UG</x:v>
      </x:c>
      <x:c r="B249" s="37" t="n">
        <x:v>2026</x:v>
      </x:c>
      <x:c r="C249" s="35" t="str">
        <x:v>Mechanical Engineering</x:v>
      </x:c>
      <x:c r="D249" s="33" t="str">
        <x:v>Undergraduate</x:v>
      </x:c>
      <x:c r="E249" s="33" t="str">
        <x:v>Vacancies</x:v>
      </x:c>
      <x:c r="F249" s="33" t="str">
        <x:v>H300</x:v>
      </x:c>
      <x:c r="G249" s="33" t="str">
        <x:v>BEng</x:v>
      </x:c>
      <x:c r="H249" s="35" t="str">
        <x:v>64 UCAS tariff points</x:v>
      </x:c>
      <x:c r="I249" s="35" t="str">
        <x:v>Yes</x:v>
      </x:c>
      <x:c r="J249" s="35" t="str">
        <x:v>This course has additional subject-specific requirements. View the full course details or contact Admissions before applying.</x:v>
      </x:c>
      <x:c r="K249" s="35" t="str">
        <x:v>https://www.keele.ac.uk/clearing/entry-requirements/</x:v>
      </x:c>
      <x:c r="L249" s="35" t="str">
        <x:v>https://www.keele.ac.uk/study/undergraduate-2026/undergraduatecourses/mechanicalengineering/</x:v>
      </x:c>
      <x:c r="M249" s="33" t="str">
        <x:v>Yes</x:v>
      </x:c>
      <x:c r="N249" s="38" t="n">
        <x:v>46195</x:v>
      </x:c>
      <x:c r="O249" s="35" t="str">
        <x:v>Clearing content team</x:v>
      </x:c>
      <x:c r="P249" s="35" t="str">
        <x:v>Initial import from Clearing vacancies and ER page for 2026.docx</x:v>
      </x:c>
      <x:c r="Q249" s="36" t="str">
        <x:f>IF(A249="","Missing ID",IF(COUNTIF($A$5:$A$1000,A249)&gt;1,"Duplicate ID",IF(C249="","Missing title",IF(D249="","Missing type",IF(E249="","Missing availability",IF(H249="","Missing offer",IF(L249="","Missing course URL",IF(ISERROR(SEARCH("https://www.keele.ac.uk/",L249)),"Non-Keele URL",IF(AND(D249="Foundation year",ISERROR(SEARCH("#foundationyear",L249))),"FY URL missing #foundationyear",IF(M249="","Missing display status",IF(N249="","Missing review date",IF(O249="","Missing owner",IF(P249="","Missing change note","OK")))))))))))))</x:f>
        <x:v>OK</x:v>
      </x:c>
    </x:row>
    <x:row r="250">
      <x:c r="A250" s="33" t="str">
        <x:v>2026-mechanicalengineering-FY</x:v>
      </x:c>
      <x:c r="B250" s="37" t="n">
        <x:v>2026</x:v>
      </x:c>
      <x:c r="C250" s="35" t="str">
        <x:v>Mechanical Engineering with Foundation Year</x:v>
      </x:c>
      <x:c r="D250" s="33" t="str">
        <x:v>Foundation year</x:v>
      </x:c>
      <x:c r="E250" s="33" t="str">
        <x:v>Vacancies</x:v>
      </x:c>
      <x:c r="F250" s="33" t="str"/>
      <x:c r="G250" s="33" t="str"/>
      <x:c r="H250" s="35" t="str">
        <x:v>Course-specific</x:v>
      </x:c>
      <x:c r="I250" s="35" t="str">
        <x:v>No</x:v>
      </x:c>
      <x:c r="J250" s="35" t="str">
        <x:v>Foundation Year requirements vary by course. View the full course details or call 01782 491120 to discuss your qualifications.</x:v>
      </x:c>
      <x:c r="K250" s="35" t="str">
        <x:v>https://www.keele.ac.uk/clearing/entry-requirements/</x:v>
      </x:c>
      <x:c r="L250" s="35" t="str">
        <x:v>https://www.keele.ac.uk/study/undergraduate-2026/undergraduatecourses/mechanicalengineering/#foundationyear</x:v>
      </x:c>
      <x:c r="M250" s="33" t="str">
        <x:v>Yes</x:v>
      </x:c>
      <x:c r="N250" s="38" t="n">
        <x:v>46195</x:v>
      </x:c>
      <x:c r="O250" s="35" t="str">
        <x:v>Clearing content team</x:v>
      </x:c>
      <x:c r="P250" s="35" t="str">
        <x:v>Initial import from Clearing vacancies and ER page for 2026.docx</x:v>
      </x:c>
      <x:c r="Q250" s="36" t="str">
        <x:f>IF(A250="","Missing ID",IF(COUNTIF($A$5:$A$1000,A250)&gt;1,"Duplicate ID",IF(C250="","Missing title",IF(D250="","Missing type",IF(E250="","Missing availability",IF(H250="","Missing offer",IF(L250="","Missing course URL",IF(ISERROR(SEARCH("https://www.keele.ac.uk/",L250)),"Non-Keele URL",IF(AND(D250="Foundation year",ISERROR(SEARCH("#foundationyear",L250))),"FY URL missing #foundationyear",IF(M250="","Missing display status",IF(N250="","Missing review date",IF(O250="","Missing owner",IF(P250="","Missing change note","OK")))))))))))))</x:f>
        <x:v>OK</x:v>
      </x:c>
    </x:row>
    <x:row r="251">
      <x:c r="A251" s="33" t="str">
        <x:v>2026-H301-UG</x:v>
      </x:c>
      <x:c r="B251" s="37" t="n">
        <x:v>2026</x:v>
      </x:c>
      <x:c r="C251" s="35" t="str">
        <x:v>Mechanical Engineering with Integrated Master's</x:v>
      </x:c>
      <x:c r="D251" s="33" t="str">
        <x:v>Undergraduate</x:v>
      </x:c>
      <x:c r="E251" s="33" t="str">
        <x:v>Vacancies</x:v>
      </x:c>
      <x:c r="F251" s="33" t="str">
        <x:v>H301</x:v>
      </x:c>
      <x:c r="G251" s="33" t="str">
        <x:v>MEng</x:v>
      </x:c>
      <x:c r="H251" s="35" t="str">
        <x:v>64 UCAS tariff points</x:v>
      </x:c>
      <x:c r="I251" s="35" t="str">
        <x:v>Yes</x:v>
      </x:c>
      <x:c r="J251" s="35" t="str">
        <x:v>This course has additional subject-specific requirements. View the full course details or contact Admissions before applying.</x:v>
      </x:c>
      <x:c r="K251" s="35" t="str">
        <x:v>https://www.keele.ac.uk/clearing/entry-requirements/</x:v>
      </x:c>
      <x:c r="L251" s="35" t="str">
        <x:v>https://www.keele.ac.uk/study/undergraduate-2026/undergraduatecourses/mechanicalengineeringwithintegratedmasters/</x:v>
      </x:c>
      <x:c r="M251" s="33" t="str">
        <x:v>Yes</x:v>
      </x:c>
      <x:c r="N251" s="38" t="n">
        <x:v>46195</x:v>
      </x:c>
      <x:c r="O251" s="35" t="str">
        <x:v>Clearing content team</x:v>
      </x:c>
      <x:c r="P251" s="35" t="str">
        <x:v>Initial import from Clearing vacancies and ER page for 2026.docx</x:v>
      </x:c>
      <x:c r="Q251" s="36" t="str">
        <x:f>IF(A251="","Missing ID",IF(COUNTIF($A$5:$A$1000,A251)&gt;1,"Duplicate ID",IF(C251="","Missing title",IF(D251="","Missing type",IF(E251="","Missing availability",IF(H251="","Missing offer",IF(L251="","Missing course URL",IF(ISERROR(SEARCH("https://www.keele.ac.uk/",L251)),"Non-Keele URL",IF(AND(D251="Foundation year",ISERROR(SEARCH("#foundationyear",L251))),"FY URL missing #foundationyear",IF(M251="","Missing display status",IF(N251="","Missing review date",IF(O251="","Missing owner",IF(P251="","Missing change note","OK")))))))))))))</x:f>
        <x:v>OK</x:v>
      </x:c>
    </x:row>
    <x:row r="252">
      <x:c r="A252" s="33" t="str">
        <x:v>2026-mechanicalengineeringwithintegratedmasters-FY</x:v>
      </x:c>
      <x:c r="B252" s="37" t="n">
        <x:v>2026</x:v>
      </x:c>
      <x:c r="C252" s="35" t="str">
        <x:v>Mechanical Engineering with Integrated Master's with Foundation Year</x:v>
      </x:c>
      <x:c r="D252" s="33" t="str">
        <x:v>Foundation year</x:v>
      </x:c>
      <x:c r="E252" s="33" t="str">
        <x:v>Vacancies</x:v>
      </x:c>
      <x:c r="F252" s="33" t="str"/>
      <x:c r="G252" s="33" t="str"/>
      <x:c r="H252" s="35" t="str">
        <x:v>Course-specific</x:v>
      </x:c>
      <x:c r="I252" s="35" t="str">
        <x:v>No</x:v>
      </x:c>
      <x:c r="J252" s="35" t="str">
        <x:v>Foundation Year requirements vary by course. View the full course details or call 01782 491120 to discuss your qualifications.</x:v>
      </x:c>
      <x:c r="K252" s="35" t="str">
        <x:v>https://www.keele.ac.uk/clearing/entry-requirements/</x:v>
      </x:c>
      <x:c r="L252" s="35" t="str">
        <x:v>https://www.keele.ac.uk/study/undergraduate-2026/undergraduatecourses/mechanicalengineeringwithintegratedmasters/#foundationyear</x:v>
      </x:c>
      <x:c r="M252" s="33" t="str">
        <x:v>Yes</x:v>
      </x:c>
      <x:c r="N252" s="38" t="n">
        <x:v>46195</x:v>
      </x:c>
      <x:c r="O252" s="35" t="str">
        <x:v>Clearing content team</x:v>
      </x:c>
      <x:c r="P252" s="35" t="str">
        <x:v>Initial import from Clearing vacancies and ER page for 2026.docx</x:v>
      </x:c>
      <x:c r="Q252" s="36" t="str">
        <x:f>IF(A252="","Missing ID",IF(COUNTIF($A$5:$A$1000,A252)&gt;1,"Duplicate ID",IF(C252="","Missing title",IF(D252="","Missing type",IF(E252="","Missing availability",IF(H252="","Missing offer",IF(L252="","Missing course URL",IF(ISERROR(SEARCH("https://www.keele.ac.uk/",L252)),"Non-Keele URL",IF(AND(D252="Foundation year",ISERROR(SEARCH("#foundationyear",L252))),"FY URL missing #foundationyear",IF(M252="","Missing display status",IF(N252="","Missing review date",IF(O252="","Missing owner",IF(P252="","Missing change note","OK")))))))))))))</x:f>
        <x:v>OK</x:v>
      </x:c>
    </x:row>
    <x:row r="253">
      <x:c r="A253" s="33" t="str">
        <x:v>2026-H400-UG</x:v>
      </x:c>
      <x:c r="B253" s="37" t="n">
        <x:v>2026</x:v>
      </x:c>
      <x:c r="C253" s="35" t="str">
        <x:v>Mechatronic Engineering</x:v>
      </x:c>
      <x:c r="D253" s="33" t="str">
        <x:v>Undergraduate</x:v>
      </x:c>
      <x:c r="E253" s="33" t="str">
        <x:v>Vacancies</x:v>
      </x:c>
      <x:c r="F253" s="33" t="str">
        <x:v>H400</x:v>
      </x:c>
      <x:c r="G253" s="33" t="str">
        <x:v>BEng</x:v>
      </x:c>
      <x:c r="H253" s="35" t="str">
        <x:v>64 UCAS tariff points</x:v>
      </x:c>
      <x:c r="I253" s="35" t="str">
        <x:v>Yes</x:v>
      </x:c>
      <x:c r="J253" s="35" t="str">
        <x:v>This course has additional subject-specific requirements. View the full course details or contact Admissions before applying.</x:v>
      </x:c>
      <x:c r="K253" s="35" t="str">
        <x:v>https://www.keele.ac.uk/clearing/entry-requirements/</x:v>
      </x:c>
      <x:c r="L253" s="35" t="str">
        <x:v>https://www.keele.ac.uk/study/undergraduate-2026/undergraduatecourses/mechatronicengineering/</x:v>
      </x:c>
      <x:c r="M253" s="33" t="str">
        <x:v>Yes</x:v>
      </x:c>
      <x:c r="N253" s="38" t="n">
        <x:v>46195</x:v>
      </x:c>
      <x:c r="O253" s="35" t="str">
        <x:v>Clearing content team</x:v>
      </x:c>
      <x:c r="P253" s="35" t="str">
        <x:v>Initial import from Clearing vacancies and ER page for 2026.docx</x:v>
      </x:c>
      <x:c r="Q253" s="36" t="str">
        <x:f>IF(A253="","Missing ID",IF(COUNTIF($A$5:$A$1000,A253)&gt;1,"Duplicate ID",IF(C253="","Missing title",IF(D253="","Missing type",IF(E253="","Missing availability",IF(H253="","Missing offer",IF(L253="","Missing course URL",IF(ISERROR(SEARCH("https://www.keele.ac.uk/",L253)),"Non-Keele URL",IF(AND(D253="Foundation year",ISERROR(SEARCH("#foundationyear",L253))),"FY URL missing #foundationyear",IF(M253="","Missing display status",IF(N253="","Missing review date",IF(O253="","Missing owner",IF(P253="","Missing change note","OK")))))))))))))</x:f>
        <x:v>OK</x:v>
      </x:c>
    </x:row>
    <x:row r="254">
      <x:c r="A254" s="33" t="str">
        <x:v>2026-mechatronicengineering-FY</x:v>
      </x:c>
      <x:c r="B254" s="37" t="n">
        <x:v>2026</x:v>
      </x:c>
      <x:c r="C254" s="35" t="str">
        <x:v>Mechatronic Engineering with Foundation Year</x:v>
      </x:c>
      <x:c r="D254" s="33" t="str">
        <x:v>Foundation year</x:v>
      </x:c>
      <x:c r="E254" s="33" t="str">
        <x:v>Vacancies</x:v>
      </x:c>
      <x:c r="F254" s="33" t="str"/>
      <x:c r="G254" s="33" t="str"/>
      <x:c r="H254" s="35" t="str">
        <x:v>Course-specific</x:v>
      </x:c>
      <x:c r="I254" s="35" t="str">
        <x:v>No</x:v>
      </x:c>
      <x:c r="J254" s="35" t="str">
        <x:v>Foundation Year requirements vary by course. View the full course details or call 01782 491120 to discuss your qualifications.</x:v>
      </x:c>
      <x:c r="K254" s="35" t="str">
        <x:v>https://www.keele.ac.uk/clearing/entry-requirements/</x:v>
      </x:c>
      <x:c r="L254" s="35" t="str">
        <x:v>https://www.keele.ac.uk/study/undergraduate-2026/undergraduatecourses/mechatronicengineering/#foundationyear</x:v>
      </x:c>
      <x:c r="M254" s="33" t="str">
        <x:v>Yes</x:v>
      </x:c>
      <x:c r="N254" s="38" t="n">
        <x:v>46195</x:v>
      </x:c>
      <x:c r="O254" s="35" t="str">
        <x:v>Clearing content team</x:v>
      </x:c>
      <x:c r="P254" s="35" t="str">
        <x:v>Initial import from Clearing vacancies and ER page for 2026.docx</x:v>
      </x:c>
      <x:c r="Q254" s="36" t="str">
        <x:f>IF(A254="","Missing ID",IF(COUNTIF($A$5:$A$1000,A254)&gt;1,"Duplicate ID",IF(C254="","Missing title",IF(D254="","Missing type",IF(E254="","Missing availability",IF(H254="","Missing offer",IF(L254="","Missing course URL",IF(ISERROR(SEARCH("https://www.keele.ac.uk/",L254)),"Non-Keele URL",IF(AND(D254="Foundation year",ISERROR(SEARCH("#foundationyear",L254))),"FY URL missing #foundationyear",IF(M254="","Missing display status",IF(N254="","Missing review date",IF(O254="","Missing owner",IF(P254="","Missing change note","OK")))))))))))))</x:f>
        <x:v>OK</x:v>
      </x:c>
    </x:row>
    <x:row r="255">
      <x:c r="A255" s="33" t="str">
        <x:v>2026-H401-UG</x:v>
      </x:c>
      <x:c r="B255" s="37" t="n">
        <x:v>2026</x:v>
      </x:c>
      <x:c r="C255" s="35" t="str">
        <x:v>Mechatronic Engineering with Integrated Master's</x:v>
      </x:c>
      <x:c r="D255" s="33" t="str">
        <x:v>Undergraduate</x:v>
      </x:c>
      <x:c r="E255" s="33" t="str">
        <x:v>Vacancies</x:v>
      </x:c>
      <x:c r="F255" s="33" t="str">
        <x:v>H401</x:v>
      </x:c>
      <x:c r="G255" s="33" t="str">
        <x:v>MEng</x:v>
      </x:c>
      <x:c r="H255" s="35" t="str">
        <x:v>64 UCAS tariff points</x:v>
      </x:c>
      <x:c r="I255" s="35" t="str">
        <x:v>Yes</x:v>
      </x:c>
      <x:c r="J255" s="35" t="str">
        <x:v>This course has additional subject-specific requirements. View the full course details or contact Admissions before applying.</x:v>
      </x:c>
      <x:c r="K255" s="35" t="str">
        <x:v>https://www.keele.ac.uk/clearing/entry-requirements/</x:v>
      </x:c>
      <x:c r="L255" s="35" t="str">
        <x:v>https://www.keele.ac.uk/study/undergraduate-2026/undergraduatecourses/mechatronicengineeringwithintegratedmasters/</x:v>
      </x:c>
      <x:c r="M255" s="33" t="str">
        <x:v>Yes</x:v>
      </x:c>
      <x:c r="N255" s="38" t="n">
        <x:v>46195</x:v>
      </x:c>
      <x:c r="O255" s="35" t="str">
        <x:v>Clearing content team</x:v>
      </x:c>
      <x:c r="P255" s="35" t="str">
        <x:v>Initial import from Clearing vacancies and ER page for 2026.docx</x:v>
      </x:c>
      <x:c r="Q255" s="36" t="str">
        <x:f>IF(A255="","Missing ID",IF(COUNTIF($A$5:$A$1000,A255)&gt;1,"Duplicate ID",IF(C255="","Missing title",IF(D255="","Missing type",IF(E255="","Missing availability",IF(H255="","Missing offer",IF(L255="","Missing course URL",IF(ISERROR(SEARCH("https://www.keele.ac.uk/",L255)),"Non-Keele URL",IF(AND(D255="Foundation year",ISERROR(SEARCH("#foundationyear",L255))),"FY URL missing #foundationyear",IF(M255="","Missing display status",IF(N255="","Missing review date",IF(O255="","Missing owner",IF(P255="","Missing change note","OK")))))))))))))</x:f>
        <x:v>OK</x:v>
      </x:c>
    </x:row>
    <x:row r="256">
      <x:c r="A256" s="33" t="str">
        <x:v>2026-mechatronicengineeringwithintegratedmasters-FY</x:v>
      </x:c>
      <x:c r="B256" s="37" t="n">
        <x:v>2026</x:v>
      </x:c>
      <x:c r="C256" s="35" t="str">
        <x:v>Mechatronic Engineering with Integrated Master's with Foundation Year</x:v>
      </x:c>
      <x:c r="D256" s="33" t="str">
        <x:v>Foundation year</x:v>
      </x:c>
      <x:c r="E256" s="33" t="str">
        <x:v>Vacancies</x:v>
      </x:c>
      <x:c r="F256" s="33" t="str"/>
      <x:c r="G256" s="33" t="str"/>
      <x:c r="H256" s="35" t="str">
        <x:v>Course-specific</x:v>
      </x:c>
      <x:c r="I256" s="35" t="str">
        <x:v>No</x:v>
      </x:c>
      <x:c r="J256" s="35" t="str">
        <x:v>Foundation Year requirements vary by course. View the full course details or call 01782 491120 to discuss your qualifications.</x:v>
      </x:c>
      <x:c r="K256" s="35" t="str">
        <x:v>https://www.keele.ac.uk/clearing/entry-requirements/</x:v>
      </x:c>
      <x:c r="L256" s="35" t="str">
        <x:v>https://www.keele.ac.uk/study/undergraduate-2026/undergraduatecourses/mechatronicengineeringwithintegratedmasters/#foundationyear</x:v>
      </x:c>
      <x:c r="M256" s="33" t="str">
        <x:v>Yes</x:v>
      </x:c>
      <x:c r="N256" s="38" t="n">
        <x:v>46195</x:v>
      </x:c>
      <x:c r="O256" s="35" t="str">
        <x:v>Clearing content team</x:v>
      </x:c>
      <x:c r="P256" s="35" t="str">
        <x:v>Initial import from Clearing vacancies and ER page for 2026.docx</x:v>
      </x:c>
      <x:c r="Q256" s="36" t="str">
        <x:f>IF(A256="","Missing ID",IF(COUNTIF($A$5:$A$1000,A256)&gt;1,"Duplicate ID",IF(C256="","Missing title",IF(D256="","Missing type",IF(E256="","Missing availability",IF(H256="","Missing offer",IF(L256="","Missing course URL",IF(ISERROR(SEARCH("https://www.keele.ac.uk/",L256)),"Non-Keele URL",IF(AND(D256="Foundation year",ISERROR(SEARCH("#foundationyear",L256))),"FY URL missing #foundationyear",IF(M256="","Missing display status",IF(N256="","Missing review date",IF(O256="","Missing owner",IF(P256="","Missing change note","OK")))))))))))))</x:f>
        <x:v>OK</x:v>
      </x:c>
    </x:row>
    <x:row r="257">
      <x:c r="A257" s="33" t="str">
        <x:v>2026-P300-UG</x:v>
      </x:c>
      <x:c r="B257" s="37" t="n">
        <x:v>2026</x:v>
      </x:c>
      <x:c r="C257" s="35" t="str">
        <x:v>Media and Communications</x:v>
      </x:c>
      <x:c r="D257" s="33" t="str">
        <x:v>Undergraduate</x:v>
      </x:c>
      <x:c r="E257" s="33" t="str">
        <x:v>Vacancies</x:v>
      </x:c>
      <x:c r="F257" s="33" t="str">
        <x:v>P300</x:v>
      </x:c>
      <x:c r="G257" s="33" t="str">
        <x:v>BA (Hons)</x:v>
      </x:c>
      <x:c r="H257" s="35" t="str">
        <x:v>64 UCAS tariff points</x:v>
      </x:c>
      <x:c r="I257" s="35" t="str">
        <x:v>No</x:v>
      </x:c>
      <x:c r="J257" s="35" t="str">
        <x:v>Most undergraduate courses require GCSE English Language at grade 4/C or equivalent. Some courses also require GCSE Mathematics at grade 4/C or equivalent.</x:v>
      </x:c>
      <x:c r="K257" s="35" t="str">
        <x:v>https://www.keele.ac.uk/clearing/entry-requirements/</x:v>
      </x:c>
      <x:c r="L257" s="35" t="str">
        <x:v>https://www.keele.ac.uk/study/undergraduate-2026/undergraduatecourses/mediaandcommunications/</x:v>
      </x:c>
      <x:c r="M257" s="33" t="str">
        <x:v>Yes</x:v>
      </x:c>
      <x:c r="N257" s="38" t="n">
        <x:v>46195</x:v>
      </x:c>
      <x:c r="O257" s="35" t="str">
        <x:v>Clearing content team</x:v>
      </x:c>
      <x:c r="P257" s="35" t="str">
        <x:v>Initial import from Clearing vacancies and ER page for 2026.docx</x:v>
      </x:c>
      <x:c r="Q257" s="36" t="str">
        <x:f>IF(A257="","Missing ID",IF(COUNTIF($A$5:$A$1000,A257)&gt;1,"Duplicate ID",IF(C257="","Missing title",IF(D257="","Missing type",IF(E257="","Missing availability",IF(H257="","Missing offer",IF(L257="","Missing course URL",IF(ISERROR(SEARCH("https://www.keele.ac.uk/",L257)),"Non-Keele URL",IF(AND(D257="Foundation year",ISERROR(SEARCH("#foundationyear",L257))),"FY URL missing #foundationyear",IF(M257="","Missing display status",IF(N257="","Missing review date",IF(O257="","Missing owner",IF(P257="","Missing change note","OK")))))))))))))</x:f>
        <x:v>OK</x:v>
      </x:c>
    </x:row>
    <x:row r="258">
      <x:c r="A258" s="33" t="str">
        <x:v>2026-mediaandcommunications-FY</x:v>
      </x:c>
      <x:c r="B258" s="37" t="n">
        <x:v>2026</x:v>
      </x:c>
      <x:c r="C258" s="35" t="str">
        <x:v>Media and Communications with Foundation Year</x:v>
      </x:c>
      <x:c r="D258" s="33" t="str">
        <x:v>Foundation year</x:v>
      </x:c>
      <x:c r="E258" s="33" t="str">
        <x:v>Vacancies</x:v>
      </x:c>
      <x:c r="F258" s="33" t="str"/>
      <x:c r="G258" s="33" t="str"/>
      <x:c r="H258" s="35" t="str">
        <x:v>Course-specific</x:v>
      </x:c>
      <x:c r="I258" s="35" t="str">
        <x:v>No</x:v>
      </x:c>
      <x:c r="J258" s="35" t="str">
        <x:v>Foundation Year requirements vary by course. View the full course details or call 01782 491120 to discuss your qualifications.</x:v>
      </x:c>
      <x:c r="K258" s="35" t="str">
        <x:v>https://www.keele.ac.uk/clearing/entry-requirements/</x:v>
      </x:c>
      <x:c r="L258" s="35" t="str">
        <x:v>https://www.keele.ac.uk/study/undergraduate-2026/undergraduatecourses/mediaandcommunications/#foundationyear</x:v>
      </x:c>
      <x:c r="M258" s="33" t="str">
        <x:v>Yes</x:v>
      </x:c>
      <x:c r="N258" s="38" t="n">
        <x:v>46195</x:v>
      </x:c>
      <x:c r="O258" s="35" t="str">
        <x:v>Clearing content team</x:v>
      </x:c>
      <x:c r="P258" s="35" t="str">
        <x:v>Initial import from Clearing vacancies and ER page for 2026.docx</x:v>
      </x:c>
      <x:c r="Q258" s="36" t="str">
        <x:f>IF(A258="","Missing ID",IF(COUNTIF($A$5:$A$1000,A258)&gt;1,"Duplicate ID",IF(C258="","Missing title",IF(D258="","Missing type",IF(E258="","Missing availability",IF(H258="","Missing offer",IF(L258="","Missing course URL",IF(ISERROR(SEARCH("https://www.keele.ac.uk/",L258)),"Non-Keele URL",IF(AND(D258="Foundation year",ISERROR(SEARCH("#foundationyear",L258))),"FY URL missing #foundationyear",IF(M258="","Missing display status",IF(N258="","Missing review date",IF(O258="","Missing owner",IF(P258="","Missing change note","OK")))))))))))))</x:f>
        <x:v>OK</x:v>
      </x:c>
    </x:row>
    <x:row r="259">
      <x:c r="A259" s="33" t="str">
        <x:v>2026-P3N1-UG</x:v>
      </x:c>
      <x:c r="B259" s="37" t="n">
        <x:v>2026</x:v>
      </x:c>
      <x:c r="C259" s="35" t="str">
        <x:v>Media with Business Management</x:v>
      </x:c>
      <x:c r="D259" s="33" t="str">
        <x:v>Undergraduate</x:v>
      </x:c>
      <x:c r="E259" s="33" t="str">
        <x:v>Vacancies</x:v>
      </x:c>
      <x:c r="F259" s="33" t="str">
        <x:v>P3N1</x:v>
      </x:c>
      <x:c r="G259" s="33" t="str">
        <x:v>BA (Hons)</x:v>
      </x:c>
      <x:c r="H259" s="35" t="str">
        <x:v>64 UCAS tariff points</x:v>
      </x:c>
      <x:c r="I259" s="35" t="str">
        <x:v>No</x:v>
      </x:c>
      <x:c r="J259" s="35" t="str">
        <x:v>Most undergraduate courses require GCSE English Language at grade 4/C or equivalent. Some courses also require GCSE Mathematics at grade 4/C or equivalent.</x:v>
      </x:c>
      <x:c r="K259" s="35" t="str">
        <x:v>https://www.keele.ac.uk/clearing/entry-requirements/</x:v>
      </x:c>
      <x:c r="L259" s="35" t="str">
        <x:v>https://www.keele.ac.uk/study/undergraduate-2026/undergraduatecourses/mediawithbusinessmanagement/</x:v>
      </x:c>
      <x:c r="M259" s="33" t="str">
        <x:v>Yes</x:v>
      </x:c>
      <x:c r="N259" s="38" t="n">
        <x:v>46195</x:v>
      </x:c>
      <x:c r="O259" s="35" t="str">
        <x:v>Clearing content team</x:v>
      </x:c>
      <x:c r="P259" s="35" t="str">
        <x:v>Initial import from Clearing vacancies and ER page for 2026.docx</x:v>
      </x:c>
      <x:c r="Q259" s="36" t="str">
        <x:f>IF(A259="","Missing ID",IF(COUNTIF($A$5:$A$1000,A259)&gt;1,"Duplicate ID",IF(C259="","Missing title",IF(D259="","Missing type",IF(E259="","Missing availability",IF(H259="","Missing offer",IF(L259="","Missing course URL",IF(ISERROR(SEARCH("https://www.keele.ac.uk/",L259)),"Non-Keele URL",IF(AND(D259="Foundation year",ISERROR(SEARCH("#foundationyear",L259))),"FY URL missing #foundationyear",IF(M259="","Missing display status",IF(N259="","Missing review date",IF(O259="","Missing owner",IF(P259="","Missing change note","OK")))))))))))))</x:f>
        <x:v>OK</x:v>
      </x:c>
    </x:row>
    <x:row r="260">
      <x:c r="A260" s="33" t="str">
        <x:v>2026-mediawithbusinessmanagement-FY</x:v>
      </x:c>
      <x:c r="B260" s="37" t="n">
        <x:v>2026</x:v>
      </x:c>
      <x:c r="C260" s="35" t="str">
        <x:v>Media with Business Management with Foundation Year</x:v>
      </x:c>
      <x:c r="D260" s="33" t="str">
        <x:v>Foundation year</x:v>
      </x:c>
      <x:c r="E260" s="33" t="str">
        <x:v>Vacancies</x:v>
      </x:c>
      <x:c r="F260" s="33" t="str"/>
      <x:c r="G260" s="33" t="str"/>
      <x:c r="H260" s="35" t="str">
        <x:v>Course-specific</x:v>
      </x:c>
      <x:c r="I260" s="35" t="str">
        <x:v>No</x:v>
      </x:c>
      <x:c r="J260" s="35" t="str">
        <x:v>Foundation Year requirements vary by course. View the full course details or call 01782 491120 to discuss your qualifications.</x:v>
      </x:c>
      <x:c r="K260" s="35" t="str">
        <x:v>https://www.keele.ac.uk/clearing/entry-requirements/</x:v>
      </x:c>
      <x:c r="L260" s="35" t="str">
        <x:v>https://www.keele.ac.uk/study/undergraduate-2026/undergraduatecourses/mediawithbusinessmanagement/#foundationyear</x:v>
      </x:c>
      <x:c r="M260" s="33" t="str">
        <x:v>Yes</x:v>
      </x:c>
      <x:c r="N260" s="38" t="n">
        <x:v>46195</x:v>
      </x:c>
      <x:c r="O260" s="35" t="str">
        <x:v>Clearing content team</x:v>
      </x:c>
      <x:c r="P260" s="35" t="str">
        <x:v>Initial import from Clearing vacancies and ER page for 2026.docx</x:v>
      </x:c>
      <x:c r="Q260" s="36" t="str">
        <x:f>IF(A260="","Missing ID",IF(COUNTIF($A$5:$A$1000,A260)&gt;1,"Duplicate ID",IF(C260="","Missing title",IF(D260="","Missing type",IF(E260="","Missing availability",IF(H260="","Missing offer",IF(L260="","Missing course URL",IF(ISERROR(SEARCH("https://www.keele.ac.uk/",L260)),"Non-Keele URL",IF(AND(D260="Foundation year",ISERROR(SEARCH("#foundationyear",L260))),"FY URL missing #foundationyear",IF(M260="","Missing display status",IF(N260="","Missing review date",IF(O260="","Missing owner",IF(P260="","Missing change note","OK")))))))))))))</x:f>
        <x:v>OK</x:v>
      </x:c>
    </x:row>
    <x:row r="261">
      <x:c r="A261" s="33" t="str">
        <x:v>2026-C902-UG</x:v>
      </x:c>
      <x:c r="B261" s="37" t="n">
        <x:v>2026</x:v>
      </x:c>
      <x:c r="C261" s="35" t="str">
        <x:v>Medical Sciences | Top-up</x:v>
      </x:c>
      <x:c r="D261" s="33" t="str">
        <x:v>Undergraduate</x:v>
      </x:c>
      <x:c r="E261" s="33" t="str">
        <x:v>Vacancies</x:v>
      </x:c>
      <x:c r="F261" s="33" t="str">
        <x:v>C902</x:v>
      </x:c>
      <x:c r="G261" s="33" t="str">
        <x:v>BSc (Hons)</x:v>
      </x:c>
      <x:c r="H261" s="35" t="str">
        <x:v>Pass HND</x:v>
      </x:c>
      <x:c r="I261" s="35" t="str">
        <x:v>Yes</x:v>
      </x:c>
      <x:c r="J261" s="35" t="str">
        <x:v>This course has additional subject-specific requirements. View the full course details or contact Admissions before applying.</x:v>
      </x:c>
      <x:c r="K261" s="35" t="str">
        <x:v>https://www.keele.ac.uk/clearing/entry-requirements/</x:v>
      </x:c>
      <x:c r="L261" s="35" t="str">
        <x:v>https://www.keele.ac.uk/study/undergraduate-2026/undergraduatecourses/medicalsciencestop-up/</x:v>
      </x:c>
      <x:c r="M261" s="33" t="str">
        <x:v>Yes</x:v>
      </x:c>
      <x:c r="N261" s="38" t="n">
        <x:v>46195</x:v>
      </x:c>
      <x:c r="O261" s="35" t="str">
        <x:v>Clearing content team</x:v>
      </x:c>
      <x:c r="P261" s="35" t="str">
        <x:v>Initial import from Clearing vacancies and ER page for 2026.docx</x:v>
      </x:c>
      <x:c r="Q261" s="36" t="str">
        <x:f>IF(A261="","Missing ID",IF(COUNTIF($A$5:$A$1000,A261)&gt;1,"Duplicate ID",IF(C261="","Missing title",IF(D261="","Missing type",IF(E261="","Missing availability",IF(H261="","Missing offer",IF(L261="","Missing course URL",IF(ISERROR(SEARCH("https://www.keele.ac.uk/",L261)),"Non-Keele URL",IF(AND(D261="Foundation year",ISERROR(SEARCH("#foundationyear",L261))),"FY URL missing #foundationyear",IF(M261="","Missing display status",IF(N261="","Missing review date",IF(O261="","Missing owner",IF(P261="","Missing change note","OK")))))))))))))</x:f>
        <x:v>OK</x:v>
      </x:c>
    </x:row>
    <x:row r="262">
      <x:c r="A262" s="33" t="str">
        <x:v>2026-A100-UG</x:v>
      </x:c>
      <x:c r="B262" s="37" t="n">
        <x:v>2026</x:v>
      </x:c>
      <x:c r="C262" s="35" t="str">
        <x:v>Medicine</x:v>
      </x:c>
      <x:c r="D262" s="33" t="str">
        <x:v>Undergraduate</x:v>
      </x:c>
      <x:c r="E262" s="33" t="str">
        <x:v>Full</x:v>
      </x:c>
      <x:c r="F262" s="33" t="str">
        <x:v>A100</x:v>
      </x:c>
      <x:c r="G262" s="33" t="str">
        <x:v>MBChB</x:v>
      </x:c>
      <x:c r="H262" s="35" t="str">
        <x:v>Course-specific</x:v>
      </x:c>
      <x:c r="I262" s="35" t="str">
        <x:v>No</x:v>
      </x:c>
      <x:c r="J262" s="35" t="str">
        <x:v>Most undergraduate courses require GCSE English Language at grade 4/C or equivalent. Some courses also require GCSE Mathematics at grade 4/C or equivalent.</x:v>
      </x:c>
      <x:c r="K262" s="35" t="str">
        <x:v>https://www.keele.ac.uk/clearing/entry-requirements/</x:v>
      </x:c>
      <x:c r="L262" s="35" t="str">
        <x:v>https://www.keele.ac.uk/study/undergraduate-2026/undergraduatecourses/medicine/</x:v>
      </x:c>
      <x:c r="M262" s="33" t="str">
        <x:v>Yes</x:v>
      </x:c>
      <x:c r="N262" s="38" t="n">
        <x:v>46195</x:v>
      </x:c>
      <x:c r="O262" s="35" t="str">
        <x:v>Clearing content team</x:v>
      </x:c>
      <x:c r="P262" s="35" t="str">
        <x:v>Initial import from Clearing vacancies and ER page for 2026.docx</x:v>
      </x:c>
      <x:c r="Q262" s="36" t="str">
        <x:f>IF(A262="","Missing ID",IF(COUNTIF($A$5:$A$1000,A262)&gt;1,"Duplicate ID",IF(C262="","Missing title",IF(D262="","Missing type",IF(E262="","Missing availability",IF(H262="","Missing offer",IF(L262="","Missing course URL",IF(ISERROR(SEARCH("https://www.keele.ac.uk/",L262)),"Non-Keele URL",IF(AND(D262="Foundation year",ISERROR(SEARCH("#foundationyear",L262))),"FY URL missing #foundationyear",IF(M262="","Missing display status",IF(N262="","Missing review date",IF(O262="","Missing owner",IF(P262="","Missing change note","OK")))))))))))))</x:f>
        <x:v>OK</x:v>
      </x:c>
    </x:row>
    <x:row r="263">
      <x:c r="A263" s="33" t="str">
        <x:v>2026-medicine-FY</x:v>
      </x:c>
      <x:c r="B263" s="37" t="n">
        <x:v>2026</x:v>
      </x:c>
      <x:c r="C263" s="35" t="str">
        <x:v>Medicine with Foundation Year</x:v>
      </x:c>
      <x:c r="D263" s="33" t="str">
        <x:v>Foundation year</x:v>
      </x:c>
      <x:c r="E263" s="33" t="str">
        <x:v>Vacancies</x:v>
      </x:c>
      <x:c r="F263" s="33" t="str"/>
      <x:c r="G263" s="33" t="str"/>
      <x:c r="H263" s="35" t="str">
        <x:v>Course-specific</x:v>
      </x:c>
      <x:c r="I263" s="35" t="str">
        <x:v>No</x:v>
      </x:c>
      <x:c r="J263" s="35" t="str">
        <x:v>Foundation Year requirements vary by course. View the full course details or call 01782 491120 to discuss your qualifications.</x:v>
      </x:c>
      <x:c r="K263" s="35" t="str">
        <x:v>https://www.keele.ac.uk/clearing/entry-requirements/</x:v>
      </x:c>
      <x:c r="L263" s="35" t="str">
        <x:v>https://www.keele.ac.uk/study/undergraduate-2026/undergraduatecourses/medicine/#foundationyear</x:v>
      </x:c>
      <x:c r="M263" s="33" t="str">
        <x:v>Yes</x:v>
      </x:c>
      <x:c r="N263" s="38" t="n">
        <x:v>46195</x:v>
      </x:c>
      <x:c r="O263" s="35" t="str">
        <x:v>Clearing content team</x:v>
      </x:c>
      <x:c r="P263" s="35" t="str">
        <x:v>Initial import from Clearing vacancies and ER page for 2026.docx</x:v>
      </x:c>
      <x:c r="Q263" s="36" t="str">
        <x:f>IF(A263="","Missing ID",IF(COUNTIF($A$5:$A$1000,A263)&gt;1,"Duplicate ID",IF(C263="","Missing title",IF(D263="","Missing type",IF(E263="","Missing availability",IF(H263="","Missing offer",IF(L263="","Missing course URL",IF(ISERROR(SEARCH("https://www.keele.ac.uk/",L263)),"Non-Keele URL",IF(AND(D263="Foundation year",ISERROR(SEARCH("#foundationyear",L263))),"FY URL missing #foundationyear",IF(M263="","Missing display status",IF(N263="","Missing review date",IF(O263="","Missing owner",IF(P263="","Missing change note","OK")))))))))))))</x:f>
        <x:v>OK</x:v>
      </x:c>
    </x:row>
    <x:row r="264">
      <x:c r="A264" s="33" t="str">
        <x:v>2026-C501-UG</x:v>
      </x:c>
      <x:c r="B264" s="37" t="n">
        <x:v>2026</x:v>
      </x:c>
      <x:c r="C264" s="35" t="str">
        <x:v>Microbiology and Immunology</x:v>
      </x:c>
      <x:c r="D264" s="33" t="str">
        <x:v>Undergraduate</x:v>
      </x:c>
      <x:c r="E264" s="33" t="str">
        <x:v>Vacancies</x:v>
      </x:c>
      <x:c r="F264" s="33" t="str">
        <x:v>C501</x:v>
      </x:c>
      <x:c r="G264" s="33" t="str">
        <x:v>BSc (Hons)</x:v>
      </x:c>
      <x:c r="H264" s="35" t="str">
        <x:v>64 UCAS tariff points</x:v>
      </x:c>
      <x:c r="I264" s="35" t="str">
        <x:v>Yes</x:v>
      </x:c>
      <x:c r="J264" s="35" t="str">
        <x:v>This course has additional subject-specific requirements. View the full course details or contact Admissions before applying.</x:v>
      </x:c>
      <x:c r="K264" s="35" t="str">
        <x:v>https://www.keele.ac.uk/clearing/entry-requirements/</x:v>
      </x:c>
      <x:c r="L264" s="35" t="str">
        <x:v>https://www.keele.ac.uk/study/undergraduate-2026/undergraduatecourses/microbiologyandimmunology/</x:v>
      </x:c>
      <x:c r="M264" s="33" t="str">
        <x:v>Yes</x:v>
      </x:c>
      <x:c r="N264" s="38" t="n">
        <x:v>46195</x:v>
      </x:c>
      <x:c r="O264" s="35" t="str">
        <x:v>Clearing content team</x:v>
      </x:c>
      <x:c r="P264" s="35" t="str">
        <x:v>Initial import from Clearing vacancies and ER page for 2026.docx</x:v>
      </x:c>
      <x:c r="Q264" s="36" t="str">
        <x:f>IF(A264="","Missing ID",IF(COUNTIF($A$5:$A$1000,A264)&gt;1,"Duplicate ID",IF(C264="","Missing title",IF(D264="","Missing type",IF(E264="","Missing availability",IF(H264="","Missing offer",IF(L264="","Missing course URL",IF(ISERROR(SEARCH("https://www.keele.ac.uk/",L264)),"Non-Keele URL",IF(AND(D264="Foundation year",ISERROR(SEARCH("#foundationyear",L264))),"FY URL missing #foundationyear",IF(M264="","Missing display status",IF(N264="","Missing review date",IF(O264="","Missing owner",IF(P264="","Missing change note","OK")))))))))))))</x:f>
        <x:v>OK</x:v>
      </x:c>
    </x:row>
    <x:row r="265">
      <x:c r="A265" s="33" t="str">
        <x:v>2026-microbiologyandimmunology-FY</x:v>
      </x:c>
      <x:c r="B265" s="37" t="n">
        <x:v>2026</x:v>
      </x:c>
      <x:c r="C265" s="35" t="str">
        <x:v>Microbiology and Immunology with Foundation Year</x:v>
      </x:c>
      <x:c r="D265" s="33" t="str">
        <x:v>Foundation year</x:v>
      </x:c>
      <x:c r="E265" s="33" t="str">
        <x:v>Vacancies</x:v>
      </x:c>
      <x:c r="F265" s="33" t="str"/>
      <x:c r="G265" s="33" t="str"/>
      <x:c r="H265" s="35" t="str">
        <x:v>Course-specific</x:v>
      </x:c>
      <x:c r="I265" s="35" t="str">
        <x:v>No</x:v>
      </x:c>
      <x:c r="J265" s="35" t="str">
        <x:v>Foundation Year requirements vary by course. View the full course details or call 01782 491120 to discuss your qualifications.</x:v>
      </x:c>
      <x:c r="K265" s="35" t="str">
        <x:v>https://www.keele.ac.uk/clearing/entry-requirements/</x:v>
      </x:c>
      <x:c r="L265" s="35" t="str">
        <x:v>https://www.keele.ac.uk/study/undergraduate-2026/undergraduatecourses/microbiologyandimmunology/#foundationyear</x:v>
      </x:c>
      <x:c r="M265" s="33" t="str">
        <x:v>Yes</x:v>
      </x:c>
      <x:c r="N265" s="38" t="n">
        <x:v>46195</x:v>
      </x:c>
      <x:c r="O265" s="35" t="str">
        <x:v>Clearing content team</x:v>
      </x:c>
      <x:c r="P265" s="35" t="str">
        <x:v>Initial import from Clearing vacancies and ER page for 2026.docx</x:v>
      </x:c>
      <x:c r="Q265" s="36" t="str">
        <x:f>IF(A265="","Missing ID",IF(COUNTIF($A$5:$A$1000,A265)&gt;1,"Duplicate ID",IF(C265="","Missing title",IF(D265="","Missing type",IF(E265="","Missing availability",IF(H265="","Missing offer",IF(L265="","Missing course URL",IF(ISERROR(SEARCH("https://www.keele.ac.uk/",L265)),"Non-Keele URL",IF(AND(D265="Foundation year",ISERROR(SEARCH("#foundationyear",L265))),"FY URL missing #foundationyear",IF(M265="","Missing display status",IF(N265="","Missing review date",IF(O265="","Missing owner",IF(P265="","Missing change note","OK")))))))))))))</x:f>
        <x:v>OK</x:v>
      </x:c>
    </x:row>
    <x:row r="266">
      <x:c r="A266" s="33" t="str">
        <x:v>2026-C500-UG</x:v>
      </x:c>
      <x:c r="B266" s="37" t="n">
        <x:v>2026</x:v>
      </x:c>
      <x:c r="C266" s="35" t="str">
        <x:v>Microbiology and Immunology with Integrated Master's</x:v>
      </x:c>
      <x:c r="D266" s="33" t="str">
        <x:v>Undergraduate</x:v>
      </x:c>
      <x:c r="E266" s="33" t="str">
        <x:v>Vacancies</x:v>
      </x:c>
      <x:c r="F266" s="33" t="str">
        <x:v>C500</x:v>
      </x:c>
      <x:c r="G266" s="33" t="str">
        <x:v>MSci</x:v>
      </x:c>
      <x:c r="H266" s="35" t="str">
        <x:v>64 UCAS tariff points</x:v>
      </x:c>
      <x:c r="I266" s="35" t="str">
        <x:v>Yes</x:v>
      </x:c>
      <x:c r="J266" s="35" t="str">
        <x:v>This course has additional subject-specific requirements. View the full course details or contact Admissions before applying.</x:v>
      </x:c>
      <x:c r="K266" s="35" t="str">
        <x:v>https://www.keele.ac.uk/clearing/entry-requirements/</x:v>
      </x:c>
      <x:c r="L266" s="35" t="str">
        <x:v>https://www.keele.ac.uk/study/undergraduate-2026/undergraduatecourses/microbiologyandimmunologywithintegratedmasters/</x:v>
      </x:c>
      <x:c r="M266" s="33" t="str">
        <x:v>Yes</x:v>
      </x:c>
      <x:c r="N266" s="38" t="n">
        <x:v>46195</x:v>
      </x:c>
      <x:c r="O266" s="35" t="str">
        <x:v>Clearing content team</x:v>
      </x:c>
      <x:c r="P266" s="35" t="str">
        <x:v>Initial import from Clearing vacancies and ER page for 2026.docx</x:v>
      </x:c>
      <x:c r="Q266" s="36" t="str">
        <x:f>IF(A266="","Missing ID",IF(COUNTIF($A$5:$A$1000,A266)&gt;1,"Duplicate ID",IF(C266="","Missing title",IF(D266="","Missing type",IF(E266="","Missing availability",IF(H266="","Missing offer",IF(L266="","Missing course URL",IF(ISERROR(SEARCH("https://www.keele.ac.uk/",L266)),"Non-Keele URL",IF(AND(D266="Foundation year",ISERROR(SEARCH("#foundationyear",L266))),"FY URL missing #foundationyear",IF(M266="","Missing display status",IF(N266="","Missing review date",IF(O266="","Missing owner",IF(P266="","Missing change note","OK")))))))))))))</x:f>
        <x:v>OK</x:v>
      </x:c>
    </x:row>
    <x:row r="267">
      <x:c r="A267" s="33" t="str">
        <x:v>2026-microbiologyandimmunologywithintegratedmasters-FY</x:v>
      </x:c>
      <x:c r="B267" s="37" t="n">
        <x:v>2026</x:v>
      </x:c>
      <x:c r="C267" s="35" t="str">
        <x:v>Microbiology and Immunology with Integrated Master's with Foundation Year</x:v>
      </x:c>
      <x:c r="D267" s="33" t="str">
        <x:v>Foundation year</x:v>
      </x:c>
      <x:c r="E267" s="33" t="str">
        <x:v>Vacancies</x:v>
      </x:c>
      <x:c r="F267" s="33" t="str"/>
      <x:c r="G267" s="33" t="str"/>
      <x:c r="H267" s="35" t="str">
        <x:v>Course-specific</x:v>
      </x:c>
      <x:c r="I267" s="35" t="str">
        <x:v>No</x:v>
      </x:c>
      <x:c r="J267" s="35" t="str">
        <x:v>Foundation Year requirements vary by course. View the full course details or call 01782 491120 to discuss your qualifications.</x:v>
      </x:c>
      <x:c r="K267" s="35" t="str">
        <x:v>https://www.keele.ac.uk/clearing/entry-requirements/</x:v>
      </x:c>
      <x:c r="L267" s="35" t="str">
        <x:v>https://www.keele.ac.uk/study/undergraduate-2026/undergraduatecourses/microbiologyandimmunologywithintegratedmasters/#foundationyear</x:v>
      </x:c>
      <x:c r="M267" s="33" t="str">
        <x:v>Yes</x:v>
      </x:c>
      <x:c r="N267" s="38" t="n">
        <x:v>46195</x:v>
      </x:c>
      <x:c r="O267" s="35" t="str">
        <x:v>Clearing content team</x:v>
      </x:c>
      <x:c r="P267" s="35" t="str">
        <x:v>Initial import from Clearing vacancies and ER page for 2026.docx</x:v>
      </x:c>
      <x:c r="Q267" s="36" t="str">
        <x:f>IF(A267="","Missing ID",IF(COUNTIF($A$5:$A$1000,A267)&gt;1,"Duplicate ID",IF(C267="","Missing title",IF(D267="","Missing type",IF(E267="","Missing availability",IF(H267="","Missing offer",IF(L267="","Missing course URL",IF(ISERROR(SEARCH("https://www.keele.ac.uk/",L267)),"Non-Keele URL",IF(AND(D267="Foundation year",ISERROR(SEARCH("#foundationyear",L267))),"FY URL missing #foundationyear",IF(M267="","Missing display status",IF(N267="","Missing review date",IF(O267="","Missing owner",IF(P267="","Missing change note","OK")))))))))))))</x:f>
        <x:v>OK</x:v>
      </x:c>
    </x:row>
    <x:row r="268">
      <x:c r="A268" s="33" t="str">
        <x:v>2026-B720-UG</x:v>
      </x:c>
      <x:c r="B268" s="37" t="n">
        <x:v>2026</x:v>
      </x:c>
      <x:c r="C268" s="35" t="str">
        <x:v>Midwifery</x:v>
      </x:c>
      <x:c r="D268" s="33" t="str">
        <x:v>Undergraduate</x:v>
      </x:c>
      <x:c r="E268" s="33" t="str">
        <x:v>Waiting list</x:v>
      </x:c>
      <x:c r="F268" s="33" t="str">
        <x:v>B720</x:v>
      </x:c>
      <x:c r="G268" s="33" t="str">
        <x:v>BSc (Hons)</x:v>
      </x:c>
      <x:c r="H268" s="35" t="str">
        <x:v>120 UCAS tariff points</x:v>
      </x:c>
      <x:c r="I268" s="35" t="str">
        <x:v>Yes</x:v>
      </x:c>
      <x:c r="J268" s="35" t="str">
        <x:v>This course has additional subject-specific requirements. View the full course details or contact Admissions before applying.</x:v>
      </x:c>
      <x:c r="K268" s="35" t="str">
        <x:v>https://www.keele.ac.uk/clearing/entry-requirements/</x:v>
      </x:c>
      <x:c r="L268" s="35" t="str">
        <x:v>https://www.keele.ac.uk/study/undergraduate-2026/undergraduatecourses/midwifery/</x:v>
      </x:c>
      <x:c r="M268" s="33" t="str">
        <x:v>Yes</x:v>
      </x:c>
      <x:c r="N268" s="38" t="n">
        <x:v>46195</x:v>
      </x:c>
      <x:c r="O268" s="35" t="str">
        <x:v>Clearing content team</x:v>
      </x:c>
      <x:c r="P268" s="35" t="str">
        <x:v>Initial import from Clearing vacancies and ER page for 2026.docx</x:v>
      </x:c>
      <x:c r="Q268" s="36" t="str">
        <x:f>IF(A268="","Missing ID",IF(COUNTIF($A$5:$A$1000,A268)&gt;1,"Duplicate ID",IF(C268="","Missing title",IF(D268="","Missing type",IF(E268="","Missing availability",IF(H268="","Missing offer",IF(L268="","Missing course URL",IF(ISERROR(SEARCH("https://www.keele.ac.uk/",L268)),"Non-Keele URL",IF(AND(D268="Foundation year",ISERROR(SEARCH("#foundationyear",L268))),"FY URL missing #foundationyear",IF(M268="","Missing display status",IF(N268="","Missing review date",IF(O268="","Missing owner",IF(P268="","Missing change note","OK")))))))))))))</x:f>
        <x:v>OK</x:v>
      </x:c>
    </x:row>
    <x:row r="269">
      <x:c r="A269" s="33" t="str">
        <x:v>2026-midwifery-FY</x:v>
      </x:c>
      <x:c r="B269" s="37" t="n">
        <x:v>2026</x:v>
      </x:c>
      <x:c r="C269" s="35" t="str">
        <x:v>Midwifery with Foundation Year</x:v>
      </x:c>
      <x:c r="D269" s="33" t="str">
        <x:v>Foundation year</x:v>
      </x:c>
      <x:c r="E269" s="33" t="str">
        <x:v>Vacancies</x:v>
      </x:c>
      <x:c r="F269" s="33" t="str"/>
      <x:c r="G269" s="33" t="str"/>
      <x:c r="H269" s="35" t="str">
        <x:v>Course-specific</x:v>
      </x:c>
      <x:c r="I269" s="35" t="str">
        <x:v>No</x:v>
      </x:c>
      <x:c r="J269" s="35" t="str">
        <x:v>Foundation Year requirements vary by course. View the full course details or call 01782 491120 to discuss your qualifications.</x:v>
      </x:c>
      <x:c r="K269" s="35" t="str">
        <x:v>https://www.keele.ac.uk/clearing/entry-requirements/</x:v>
      </x:c>
      <x:c r="L269" s="35" t="str">
        <x:v>https://www.keele.ac.uk/study/undergraduate-2026/undergraduatecourses/midwifery/#foundationyear</x:v>
      </x:c>
      <x:c r="M269" s="33" t="str">
        <x:v>Yes</x:v>
      </x:c>
      <x:c r="N269" s="38" t="n">
        <x:v>46195</x:v>
      </x:c>
      <x:c r="O269" s="35" t="str">
        <x:v>Clearing content team</x:v>
      </x:c>
      <x:c r="P269" s="35" t="str">
        <x:v>Initial import from Clearing vacancies and ER page for 2026.docx</x:v>
      </x:c>
      <x:c r="Q269" s="36" t="str">
        <x:f>IF(A269="","Missing ID",IF(COUNTIF($A$5:$A$1000,A269)&gt;1,"Duplicate ID",IF(C269="","Missing title",IF(D269="","Missing type",IF(E269="","Missing availability",IF(H269="","Missing offer",IF(L269="","Missing course URL",IF(ISERROR(SEARCH("https://www.keele.ac.uk/",L269)),"Non-Keele URL",IF(AND(D269="Foundation year",ISERROR(SEARCH("#foundationyear",L269))),"FY URL missing #foundationyear",IF(M269="","Missing display status",IF(N269="","Missing review date",IF(O269="","Missing owner",IF(P269="","Missing change note","OK")))))))))))))</x:f>
        <x:v>OK</x:v>
      </x:c>
    </x:row>
    <x:row r="270">
      <x:c r="A270" s="33" t="str">
        <x:v>2026-LV1F-UG</x:v>
      </x:c>
      <x:c r="B270" s="37" t="n">
        <x:v>2026</x:v>
      </x:c>
      <x:c r="C270" s="35" t="str">
        <x:v>Modern History and International Relations</x:v>
      </x:c>
      <x:c r="D270" s="33" t="str">
        <x:v>Undergraduate</x:v>
      </x:c>
      <x:c r="E270" s="33" t="str">
        <x:v>Vacancies</x:v>
      </x:c>
      <x:c r="F270" s="33" t="str">
        <x:v>LV1F</x:v>
      </x:c>
      <x:c r="G270" s="33" t="str">
        <x:v>BA (Hons)</x:v>
      </x:c>
      <x:c r="H270" s="35" t="str">
        <x:v>64 UCAS tariff points</x:v>
      </x:c>
      <x:c r="I270" s="35" t="str">
        <x:v>No</x:v>
      </x:c>
      <x:c r="J270" s="35" t="str">
        <x:v>Most undergraduate courses require GCSE English Language at grade 4/C or equivalent. Some courses also require GCSE Mathematics at grade 4/C or equivalent.</x:v>
      </x:c>
      <x:c r="K270" s="35" t="str">
        <x:v>https://www.keele.ac.uk/clearing/entry-requirements/</x:v>
      </x:c>
      <x:c r="L270" s="35" t="str">
        <x:v>https://www.keele.ac.uk/study/undergraduate-2026/undergraduatecourses/modernhistoryandinternationalrelations/</x:v>
      </x:c>
      <x:c r="M270" s="33" t="str">
        <x:v>Yes</x:v>
      </x:c>
      <x:c r="N270" s="38" t="n">
        <x:v>46195</x:v>
      </x:c>
      <x:c r="O270" s="35" t="str">
        <x:v>Clearing content team</x:v>
      </x:c>
      <x:c r="P270" s="35" t="str">
        <x:v>Initial import from Clearing vacancies and ER page for 2026.docx</x:v>
      </x:c>
      <x:c r="Q270" s="36" t="str">
        <x:f>IF(A270="","Missing ID",IF(COUNTIF($A$5:$A$1000,A270)&gt;1,"Duplicate ID",IF(C270="","Missing title",IF(D270="","Missing type",IF(E270="","Missing availability",IF(H270="","Missing offer",IF(L270="","Missing course URL",IF(ISERROR(SEARCH("https://www.keele.ac.uk/",L270)),"Non-Keele URL",IF(AND(D270="Foundation year",ISERROR(SEARCH("#foundationyear",L270))),"FY URL missing #foundationyear",IF(M270="","Missing display status",IF(N270="","Missing review date",IF(O270="","Missing owner",IF(P270="","Missing change note","OK")))))))))))))</x:f>
        <x:v>OK</x:v>
      </x:c>
    </x:row>
    <x:row r="271">
      <x:c r="A271" s="33" t="str">
        <x:v>2026-modernhistoryandinternationalrelations-FY</x:v>
      </x:c>
      <x:c r="B271" s="37" t="n">
        <x:v>2026</x:v>
      </x:c>
      <x:c r="C271" s="35" t="str">
        <x:v>Modern History and International Relations with Foundation Year</x:v>
      </x:c>
      <x:c r="D271" s="33" t="str">
        <x:v>Foundation year</x:v>
      </x:c>
      <x:c r="E271" s="33" t="str">
        <x:v>Vacancies</x:v>
      </x:c>
      <x:c r="F271" s="33" t="str"/>
      <x:c r="G271" s="33" t="str"/>
      <x:c r="H271" s="35" t="str">
        <x:v>Course-specific</x:v>
      </x:c>
      <x:c r="I271" s="35" t="str">
        <x:v>No</x:v>
      </x:c>
      <x:c r="J271" s="35" t="str">
        <x:v>Foundation Year requirements vary by course. View the full course details or call 01782 491120 to discuss your qualifications.</x:v>
      </x:c>
      <x:c r="K271" s="35" t="str">
        <x:v>https://www.keele.ac.uk/clearing/entry-requirements/</x:v>
      </x:c>
      <x:c r="L271" s="35" t="str">
        <x:v>https://www.keele.ac.uk/study/undergraduate-2026/undergraduatecourses/modernhistoryandinternationalrelations/#foundationyear</x:v>
      </x:c>
      <x:c r="M271" s="33" t="str">
        <x:v>Yes</x:v>
      </x:c>
      <x:c r="N271" s="38" t="n">
        <x:v>46195</x:v>
      </x:c>
      <x:c r="O271" s="35" t="str">
        <x:v>Clearing content team</x:v>
      </x:c>
      <x:c r="P271" s="35" t="str">
        <x:v>Initial import from Clearing vacancies and ER page for 2026.docx</x:v>
      </x:c>
      <x:c r="Q271" s="36" t="str">
        <x:f>IF(A271="","Missing ID",IF(COUNTIF($A$5:$A$1000,A271)&gt;1,"Duplicate ID",IF(C271="","Missing title",IF(D271="","Missing type",IF(E271="","Missing availability",IF(H271="","Missing offer",IF(L271="","Missing course URL",IF(ISERROR(SEARCH("https://www.keele.ac.uk/",L271)),"Non-Keele URL",IF(AND(D271="Foundation year",ISERROR(SEARCH("#foundationyear",L271))),"FY URL missing #foundationyear",IF(M271="","Missing display status",IF(N271="","Missing review date",IF(O271="","Missing owner",IF(P271="","Missing change note","OK")))))))))))))</x:f>
        <x:v>OK</x:v>
      </x:c>
    </x:row>
    <x:row r="272">
      <x:c r="A272" s="33" t="str">
        <x:v>2026-L2V1-UG</x:v>
      </x:c>
      <x:c r="B272" s="37" t="n">
        <x:v>2026</x:v>
      </x:c>
      <x:c r="C272" s="35" t="str">
        <x:v>Modern History and Politics</x:v>
      </x:c>
      <x:c r="D272" s="33" t="str">
        <x:v>Undergraduate</x:v>
      </x:c>
      <x:c r="E272" s="33" t="str">
        <x:v>Vacancies</x:v>
      </x:c>
      <x:c r="F272" s="33" t="str">
        <x:v>L2V1</x:v>
      </x:c>
      <x:c r="G272" s="33" t="str">
        <x:v>BA (Hons)</x:v>
      </x:c>
      <x:c r="H272" s="35" t="str">
        <x:v>64 UCAS tariff points</x:v>
      </x:c>
      <x:c r="I272" s="35" t="str">
        <x:v>No</x:v>
      </x:c>
      <x:c r="J272" s="35" t="str">
        <x:v>Most undergraduate courses require GCSE English Language at grade 4/C or equivalent. Some courses also require GCSE Mathematics at grade 4/C or equivalent.</x:v>
      </x:c>
      <x:c r="K272" s="35" t="str">
        <x:v>https://www.keele.ac.uk/clearing/entry-requirements/</x:v>
      </x:c>
      <x:c r="L272" s="35" t="str">
        <x:v>https://www.keele.ac.uk/study/undergraduate-2026/undergraduatecourses/modernhistoryandpolitics/</x:v>
      </x:c>
      <x:c r="M272" s="33" t="str">
        <x:v>Yes</x:v>
      </x:c>
      <x:c r="N272" s="38" t="n">
        <x:v>46195</x:v>
      </x:c>
      <x:c r="O272" s="35" t="str">
        <x:v>Clearing content team</x:v>
      </x:c>
      <x:c r="P272" s="35" t="str">
        <x:v>Initial import from Clearing vacancies and ER page for 2026.docx</x:v>
      </x:c>
      <x:c r="Q272" s="36" t="str">
        <x:f>IF(A272="","Missing ID",IF(COUNTIF($A$5:$A$1000,A272)&gt;1,"Duplicate ID",IF(C272="","Missing title",IF(D272="","Missing type",IF(E272="","Missing availability",IF(H272="","Missing offer",IF(L272="","Missing course URL",IF(ISERROR(SEARCH("https://www.keele.ac.uk/",L272)),"Non-Keele URL",IF(AND(D272="Foundation year",ISERROR(SEARCH("#foundationyear",L272))),"FY URL missing #foundationyear",IF(M272="","Missing display status",IF(N272="","Missing review date",IF(O272="","Missing owner",IF(P272="","Missing change note","OK")))))))))))))</x:f>
        <x:v>OK</x:v>
      </x:c>
    </x:row>
    <x:row r="273">
      <x:c r="A273" s="33" t="str">
        <x:v>2026-modernhistoryandpolitics-FY</x:v>
      </x:c>
      <x:c r="B273" s="37" t="n">
        <x:v>2026</x:v>
      </x:c>
      <x:c r="C273" s="35" t="str">
        <x:v>Modern History and Politics with Foundation Year</x:v>
      </x:c>
      <x:c r="D273" s="33" t="str">
        <x:v>Foundation year</x:v>
      </x:c>
      <x:c r="E273" s="33" t="str">
        <x:v>Vacancies</x:v>
      </x:c>
      <x:c r="F273" s="33" t="str"/>
      <x:c r="G273" s="33" t="str"/>
      <x:c r="H273" s="35" t="str">
        <x:v>Course-specific</x:v>
      </x:c>
      <x:c r="I273" s="35" t="str">
        <x:v>No</x:v>
      </x:c>
      <x:c r="J273" s="35" t="str">
        <x:v>Foundation Year requirements vary by course. View the full course details or call 01782 491120 to discuss your qualifications.</x:v>
      </x:c>
      <x:c r="K273" s="35" t="str">
        <x:v>https://www.keele.ac.uk/clearing/entry-requirements/</x:v>
      </x:c>
      <x:c r="L273" s="35" t="str">
        <x:v>https://www.keele.ac.uk/study/undergraduate-2026/undergraduatecourses/modernhistoryandpolitics/#foundationyear</x:v>
      </x:c>
      <x:c r="M273" s="33" t="str">
        <x:v>Yes</x:v>
      </x:c>
      <x:c r="N273" s="38" t="n">
        <x:v>46195</x:v>
      </x:c>
      <x:c r="O273" s="35" t="str">
        <x:v>Clearing content team</x:v>
      </x:c>
      <x:c r="P273" s="35" t="str">
        <x:v>Initial import from Clearing vacancies and ER page for 2026.docx</x:v>
      </x:c>
      <x:c r="Q273" s="36" t="str">
        <x:f>IF(A273="","Missing ID",IF(COUNTIF($A$5:$A$1000,A273)&gt;1,"Duplicate ID",IF(C273="","Missing title",IF(D273="","Missing type",IF(E273="","Missing availability",IF(H273="","Missing offer",IF(L273="","Missing course URL",IF(ISERROR(SEARCH("https://www.keele.ac.uk/",L273)),"Non-Keele URL",IF(AND(D273="Foundation year",ISERROR(SEARCH("#foundationyear",L273))),"FY URL missing #foundationyear",IF(M273="","Missing display status",IF(N273="","Missing review date",IF(O273="","Missing owner",IF(P273="","Missing change note","OK")))))))))))))</x:f>
        <x:v>OK</x:v>
      </x:c>
    </x:row>
    <x:row r="274">
      <x:c r="A274" s="33" t="str">
        <x:v>2026-WJ40-UG</x:v>
      </x:c>
      <x:c r="B274" s="37" t="n">
        <x:v>2026</x:v>
      </x:c>
      <x:c r="C274" s="35" t="str">
        <x:v>Music Production and Sound Design</x:v>
      </x:c>
      <x:c r="D274" s="33" t="str">
        <x:v>Undergraduate</x:v>
      </x:c>
      <x:c r="E274" s="33" t="str">
        <x:v>Vacancies</x:v>
      </x:c>
      <x:c r="F274" s="33" t="str">
        <x:v>WJ40</x:v>
      </x:c>
      <x:c r="G274" s="33" t="str">
        <x:v>BA (Hons)</x:v>
      </x:c>
      <x:c r="H274" s="35" t="str">
        <x:v>64 UCAS tariff points</x:v>
      </x:c>
      <x:c r="I274" s="35" t="str">
        <x:v>No</x:v>
      </x:c>
      <x:c r="J274" s="35" t="str">
        <x:v>Most undergraduate courses require GCSE English Language at grade 4/C or equivalent. Some courses also require GCSE Mathematics at grade 4/C or equivalent.</x:v>
      </x:c>
      <x:c r="K274" s="35" t="str">
        <x:v>https://www.keele.ac.uk/clearing/entry-requirements/</x:v>
      </x:c>
      <x:c r="L274" s="35" t="str">
        <x:v>https://www.keele.ac.uk/study/undergraduate-2026/undergraduatecourses/musicproductionandsounddesign/</x:v>
      </x:c>
      <x:c r="M274" s="33" t="str">
        <x:v>Yes</x:v>
      </x:c>
      <x:c r="N274" s="38" t="n">
        <x:v>46195</x:v>
      </x:c>
      <x:c r="O274" s="35" t="str">
        <x:v>Clearing content team</x:v>
      </x:c>
      <x:c r="P274" s="35" t="str">
        <x:v>Initial import from Clearing vacancies and ER page for 2026.docx</x:v>
      </x:c>
      <x:c r="Q274" s="36" t="str">
        <x:f>IF(A274="","Missing ID",IF(COUNTIF($A$5:$A$1000,A274)&gt;1,"Duplicate ID",IF(C274="","Missing title",IF(D274="","Missing type",IF(E274="","Missing availability",IF(H274="","Missing offer",IF(L274="","Missing course URL",IF(ISERROR(SEARCH("https://www.keele.ac.uk/",L274)),"Non-Keele URL",IF(AND(D274="Foundation year",ISERROR(SEARCH("#foundationyear",L274))),"FY URL missing #foundationyear",IF(M274="","Missing display status",IF(N274="","Missing review date",IF(O274="","Missing owner",IF(P274="","Missing change note","OK")))))))))))))</x:f>
        <x:v>OK</x:v>
      </x:c>
    </x:row>
    <x:row r="275">
      <x:c r="A275" s="33" t="str">
        <x:v>2026-musicproductionandsounddesign-FY</x:v>
      </x:c>
      <x:c r="B275" s="37" t="n">
        <x:v>2026</x:v>
      </x:c>
      <x:c r="C275" s="35" t="str">
        <x:v>Music Production and Sound Design with Foundation Year</x:v>
      </x:c>
      <x:c r="D275" s="33" t="str">
        <x:v>Foundation year</x:v>
      </x:c>
      <x:c r="E275" s="33" t="str">
        <x:v>Vacancies</x:v>
      </x:c>
      <x:c r="F275" s="33" t="str"/>
      <x:c r="G275" s="33" t="str"/>
      <x:c r="H275" s="35" t="str">
        <x:v>Course-specific</x:v>
      </x:c>
      <x:c r="I275" s="35" t="str">
        <x:v>No</x:v>
      </x:c>
      <x:c r="J275" s="35" t="str">
        <x:v>Foundation Year requirements vary by course. View the full course details or call 01782 491120 to discuss your qualifications.</x:v>
      </x:c>
      <x:c r="K275" s="35" t="str">
        <x:v>https://www.keele.ac.uk/clearing/entry-requirements/</x:v>
      </x:c>
      <x:c r="L275" s="35" t="str">
        <x:v>https://www.keele.ac.uk/study/undergraduate-2026/undergraduatecourses/musicproductionandsounddesign/#foundationyear</x:v>
      </x:c>
      <x:c r="M275" s="33" t="str">
        <x:v>Yes</x:v>
      </x:c>
      <x:c r="N275" s="38" t="n">
        <x:v>46195</x:v>
      </x:c>
      <x:c r="O275" s="35" t="str">
        <x:v>Clearing content team</x:v>
      </x:c>
      <x:c r="P275" s="35" t="str">
        <x:v>Initial import from Clearing vacancies and ER page for 2026.docx</x:v>
      </x:c>
      <x:c r="Q275" s="36" t="str">
        <x:f>IF(A275="","Missing ID",IF(COUNTIF($A$5:$A$1000,A275)&gt;1,"Duplicate ID",IF(C275="","Missing title",IF(D275="","Missing type",IF(E275="","Missing availability",IF(H275="","Missing offer",IF(L275="","Missing course URL",IF(ISERROR(SEARCH("https://www.keele.ac.uk/",L275)),"Non-Keele URL",IF(AND(D275="Foundation year",ISERROR(SEARCH("#foundationyear",L275))),"FY URL missing #foundationyear",IF(M275="","Missing display status",IF(N275="","Missing review date",IF(O275="","Missing owner",IF(P275="","Missing change note","OK")))))))))))))</x:f>
        <x:v>OK</x:v>
      </x:c>
    </x:row>
    <x:row r="276">
      <x:c r="A276" s="33" t="str">
        <x:v>2026-N2J0-UG</x:v>
      </x:c>
      <x:c r="B276" s="37" t="n">
        <x:v>2026</x:v>
      </x:c>
      <x:c r="C276" s="35" t="str">
        <x:v>Music Production with Business Management</x:v>
      </x:c>
      <x:c r="D276" s="33" t="str">
        <x:v>Undergraduate</x:v>
      </x:c>
      <x:c r="E276" s="33" t="str">
        <x:v>Vacancies</x:v>
      </x:c>
      <x:c r="F276" s="33" t="str">
        <x:v>N2J0</x:v>
      </x:c>
      <x:c r="G276" s="33" t="str">
        <x:v>BA (Hons)</x:v>
      </x:c>
      <x:c r="H276" s="35" t="str">
        <x:v>64 UCAS tariff points</x:v>
      </x:c>
      <x:c r="I276" s="35" t="str">
        <x:v>No</x:v>
      </x:c>
      <x:c r="J276" s="35" t="str">
        <x:v>Most undergraduate courses require GCSE English Language at grade 4/C or equivalent. Some courses also require GCSE Mathematics at grade 4/C or equivalent.</x:v>
      </x:c>
      <x:c r="K276" s="35" t="str">
        <x:v>https://www.keele.ac.uk/clearing/entry-requirements/</x:v>
      </x:c>
      <x:c r="L276" s="35" t="str">
        <x:v>https://www.keele.ac.uk/study/undergraduate-2026/undergraduatecourses/musicproductionwithbusinessmanagement/</x:v>
      </x:c>
      <x:c r="M276" s="33" t="str">
        <x:v>Yes</x:v>
      </x:c>
      <x:c r="N276" s="38" t="n">
        <x:v>46195</x:v>
      </x:c>
      <x:c r="O276" s="35" t="str">
        <x:v>Clearing content team</x:v>
      </x:c>
      <x:c r="P276" s="35" t="str">
        <x:v>Initial import from Clearing vacancies and ER page for 2026.docx</x:v>
      </x:c>
      <x:c r="Q276" s="36" t="str">
        <x:f>IF(A276="","Missing ID",IF(COUNTIF($A$5:$A$1000,A276)&gt;1,"Duplicate ID",IF(C276="","Missing title",IF(D276="","Missing type",IF(E276="","Missing availability",IF(H276="","Missing offer",IF(L276="","Missing course URL",IF(ISERROR(SEARCH("https://www.keele.ac.uk/",L276)),"Non-Keele URL",IF(AND(D276="Foundation year",ISERROR(SEARCH("#foundationyear",L276))),"FY URL missing #foundationyear",IF(M276="","Missing display status",IF(N276="","Missing review date",IF(O276="","Missing owner",IF(P276="","Missing change note","OK")))))))))))))</x:f>
        <x:v>OK</x:v>
      </x:c>
    </x:row>
    <x:row r="277">
      <x:c r="A277" s="33" t="str">
        <x:v>2026-musicproductionwithbusinessmanagement-FY</x:v>
      </x:c>
      <x:c r="B277" s="37" t="n">
        <x:v>2026</x:v>
      </x:c>
      <x:c r="C277" s="35" t="str">
        <x:v>Music Production with Business Management with Foundation Year</x:v>
      </x:c>
      <x:c r="D277" s="33" t="str">
        <x:v>Foundation year</x:v>
      </x:c>
      <x:c r="E277" s="33" t="str">
        <x:v>Vacancies</x:v>
      </x:c>
      <x:c r="F277" s="33" t="str"/>
      <x:c r="G277" s="33" t="str"/>
      <x:c r="H277" s="35" t="str">
        <x:v>Course-specific</x:v>
      </x:c>
      <x:c r="I277" s="35" t="str">
        <x:v>No</x:v>
      </x:c>
      <x:c r="J277" s="35" t="str">
        <x:v>Foundation Year requirements vary by course. View the full course details or call 01782 491120 to discuss your qualifications.</x:v>
      </x:c>
      <x:c r="K277" s="35" t="str">
        <x:v>https://www.keele.ac.uk/clearing/entry-requirements/</x:v>
      </x:c>
      <x:c r="L277" s="35" t="str">
        <x:v>https://www.keele.ac.uk/study/undergraduate-2026/undergraduatecourses/musicproductionwithbusinessmanagement/#foundationyear</x:v>
      </x:c>
      <x:c r="M277" s="33" t="str">
        <x:v>Yes</x:v>
      </x:c>
      <x:c r="N277" s="38" t="n">
        <x:v>46195</x:v>
      </x:c>
      <x:c r="O277" s="35" t="str">
        <x:v>Clearing content team</x:v>
      </x:c>
      <x:c r="P277" s="35" t="str">
        <x:v>Initial import from Clearing vacancies and ER page for 2026.docx</x:v>
      </x:c>
      <x:c r="Q277" s="36" t="str">
        <x:f>IF(A277="","Missing ID",IF(COUNTIF($A$5:$A$1000,A277)&gt;1,"Duplicate ID",IF(C277="","Missing title",IF(D277="","Missing type",IF(E277="","Missing availability",IF(H277="","Missing offer",IF(L277="","Missing course URL",IF(ISERROR(SEARCH("https://www.keele.ac.uk/",L277)),"Non-Keele URL",IF(AND(D277="Foundation year",ISERROR(SEARCH("#foundationyear",L277))),"FY URL missing #foundationyear",IF(M277="","Missing display status",IF(N277="","Missing review date",IF(O277="","Missing owner",IF(P277="","Missing change note","OK")))))))))))))</x:f>
        <x:v>OK</x:v>
      </x:c>
    </x:row>
    <x:row r="278">
      <x:c r="A278" s="33" t="str">
        <x:v>2026-B141-UG</x:v>
      </x:c>
      <x:c r="B278" s="37" t="n">
        <x:v>2026</x:v>
      </x:c>
      <x:c r="C278" s="35" t="str">
        <x:v>Neuroscience</x:v>
      </x:c>
      <x:c r="D278" s="33" t="str">
        <x:v>Undergraduate</x:v>
      </x:c>
      <x:c r="E278" s="33" t="str">
        <x:v>Vacancies</x:v>
      </x:c>
      <x:c r="F278" s="33" t="str">
        <x:v>B141</x:v>
      </x:c>
      <x:c r="G278" s="33" t="str">
        <x:v>BSc (Hons)</x:v>
      </x:c>
      <x:c r="H278" s="35" t="str">
        <x:v>64 UCAS tariff points</x:v>
      </x:c>
      <x:c r="I278" s="35" t="str">
        <x:v>Yes</x:v>
      </x:c>
      <x:c r="J278" s="35" t="str">
        <x:v>This course has additional subject-specific requirements. View the full course details or contact Admissions before applying.</x:v>
      </x:c>
      <x:c r="K278" s="35" t="str">
        <x:v>https://www.keele.ac.uk/clearing/entry-requirements/</x:v>
      </x:c>
      <x:c r="L278" s="35" t="str">
        <x:v>https://www.keele.ac.uk/study/undergraduate-2026/undergraduatecourses/neuroscience/</x:v>
      </x:c>
      <x:c r="M278" s="33" t="str">
        <x:v>Yes</x:v>
      </x:c>
      <x:c r="N278" s="38" t="n">
        <x:v>46195</x:v>
      </x:c>
      <x:c r="O278" s="35" t="str">
        <x:v>Clearing content team</x:v>
      </x:c>
      <x:c r="P278" s="35" t="str">
        <x:v>Initial import from Clearing vacancies and ER page for 2026.docx</x:v>
      </x:c>
      <x:c r="Q278" s="36" t="str">
        <x:f>IF(A278="","Missing ID",IF(COUNTIF($A$5:$A$1000,A278)&gt;1,"Duplicate ID",IF(C278="","Missing title",IF(D278="","Missing type",IF(E278="","Missing availability",IF(H278="","Missing offer",IF(L278="","Missing course URL",IF(ISERROR(SEARCH("https://www.keele.ac.uk/",L278)),"Non-Keele URL",IF(AND(D278="Foundation year",ISERROR(SEARCH("#foundationyear",L278))),"FY URL missing #foundationyear",IF(M278="","Missing display status",IF(N278="","Missing review date",IF(O278="","Missing owner",IF(P278="","Missing change note","OK")))))))))))))</x:f>
        <x:v>OK</x:v>
      </x:c>
    </x:row>
    <x:row r="279">
      <x:c r="A279" s="33" t="str">
        <x:v>2026-BG41-UG</x:v>
      </x:c>
      <x:c r="B279" s="37" t="n">
        <x:v>2026</x:v>
      </x:c>
      <x:c r="C279" s="35" t="str">
        <x:v>Neuroscience with Artificial Intelligence</x:v>
      </x:c>
      <x:c r="D279" s="33" t="str">
        <x:v>Undergraduate</x:v>
      </x:c>
      <x:c r="E279" s="33" t="str">
        <x:v>Vacancies</x:v>
      </x:c>
      <x:c r="F279" s="33" t="str">
        <x:v>BG41</x:v>
      </x:c>
      <x:c r="G279" s="33" t="str">
        <x:v>BSc (Hons)</x:v>
      </x:c>
      <x:c r="H279" s="35" t="str">
        <x:v>64 UCAS tariff points</x:v>
      </x:c>
      <x:c r="I279" s="35" t="str">
        <x:v>Yes</x:v>
      </x:c>
      <x:c r="J279" s="35" t="str">
        <x:v>This course has additional subject-specific requirements. View the full course details or contact Admissions before applying.</x:v>
      </x:c>
      <x:c r="K279" s="35" t="str">
        <x:v>https://www.keele.ac.uk/clearing/entry-requirements/</x:v>
      </x:c>
      <x:c r="L279" s="35" t="str">
        <x:v>https://www.keele.ac.uk/study/undergraduate-2026/undergraduatecourses/neurosciencewithai/</x:v>
      </x:c>
      <x:c r="M279" s="33" t="str">
        <x:v>Yes</x:v>
      </x:c>
      <x:c r="N279" s="38" t="n">
        <x:v>46195</x:v>
      </x:c>
      <x:c r="O279" s="35" t="str">
        <x:v>Clearing content team</x:v>
      </x:c>
      <x:c r="P279" s="35" t="str">
        <x:v>Initial import from Clearing vacancies and ER page for 2026.docx</x:v>
      </x:c>
      <x:c r="Q279" s="36" t="str">
        <x:f>IF(A279="","Missing ID",IF(COUNTIF($A$5:$A$1000,A279)&gt;1,"Duplicate ID",IF(C279="","Missing title",IF(D279="","Missing type",IF(E279="","Missing availability",IF(H279="","Missing offer",IF(L279="","Missing course URL",IF(ISERROR(SEARCH("https://www.keele.ac.uk/",L279)),"Non-Keele URL",IF(AND(D279="Foundation year",ISERROR(SEARCH("#foundationyear",L279))),"FY URL missing #foundationyear",IF(M279="","Missing display status",IF(N279="","Missing review date",IF(O279="","Missing owner",IF(P279="","Missing change note","OK")))))))))))))</x:f>
        <x:v>OK</x:v>
      </x:c>
    </x:row>
    <x:row r="280">
      <x:c r="A280" s="33" t="str">
        <x:v>2026-neurosciencewithai-FY</x:v>
      </x:c>
      <x:c r="B280" s="37" t="n">
        <x:v>2026</x:v>
      </x:c>
      <x:c r="C280" s="35" t="str">
        <x:v>Neuroscience with Artificial Intelligence with Foundation Year</x:v>
      </x:c>
      <x:c r="D280" s="33" t="str">
        <x:v>Foundation year</x:v>
      </x:c>
      <x:c r="E280" s="33" t="str">
        <x:v>Vacancies</x:v>
      </x:c>
      <x:c r="F280" s="33" t="str"/>
      <x:c r="G280" s="33" t="str"/>
      <x:c r="H280" s="35" t="str">
        <x:v>Course-specific</x:v>
      </x:c>
      <x:c r="I280" s="35" t="str">
        <x:v>No</x:v>
      </x:c>
      <x:c r="J280" s="35" t="str">
        <x:v>Foundation Year requirements vary by course. View the full course details or call 01782 491120 to discuss your qualifications.</x:v>
      </x:c>
      <x:c r="K280" s="35" t="str">
        <x:v>https://www.keele.ac.uk/clearing/entry-requirements/</x:v>
      </x:c>
      <x:c r="L280" s="35" t="str">
        <x:v>https://www.keele.ac.uk/study/undergraduate-2026/undergraduatecourses/neurosciencewithai/#foundationyear</x:v>
      </x:c>
      <x:c r="M280" s="33" t="str">
        <x:v>Yes</x:v>
      </x:c>
      <x:c r="N280" s="38" t="n">
        <x:v>46195</x:v>
      </x:c>
      <x:c r="O280" s="35" t="str">
        <x:v>Clearing content team</x:v>
      </x:c>
      <x:c r="P280" s="35" t="str">
        <x:v>Initial import from Clearing vacancies and ER page for 2026.docx</x:v>
      </x:c>
      <x:c r="Q280" s="36" t="str">
        <x:f>IF(A280="","Missing ID",IF(COUNTIF($A$5:$A$1000,A280)&gt;1,"Duplicate ID",IF(C280="","Missing title",IF(D280="","Missing type",IF(E280="","Missing availability",IF(H280="","Missing offer",IF(L280="","Missing course URL",IF(ISERROR(SEARCH("https://www.keele.ac.uk/",L280)),"Non-Keele URL",IF(AND(D280="Foundation year",ISERROR(SEARCH("#foundationyear",L280))),"FY URL missing #foundationyear",IF(M280="","Missing display status",IF(N280="","Missing review date",IF(O280="","Missing owner",IF(P280="","Missing change note","OK")))))))))))))</x:f>
        <x:v>OK</x:v>
      </x:c>
    </x:row>
    <x:row r="281">
      <x:c r="A281" s="33" t="str">
        <x:v>2026-neuroscience-FY</x:v>
      </x:c>
      <x:c r="B281" s="37" t="n">
        <x:v>2026</x:v>
      </x:c>
      <x:c r="C281" s="35" t="str">
        <x:v>Neuroscience with Foundation Year</x:v>
      </x:c>
      <x:c r="D281" s="33" t="str">
        <x:v>Foundation year</x:v>
      </x:c>
      <x:c r="E281" s="33" t="str">
        <x:v>Vacancies</x:v>
      </x:c>
      <x:c r="F281" s="33" t="str"/>
      <x:c r="G281" s="33" t="str"/>
      <x:c r="H281" s="35" t="str">
        <x:v>Course-specific</x:v>
      </x:c>
      <x:c r="I281" s="35" t="str">
        <x:v>No</x:v>
      </x:c>
      <x:c r="J281" s="35" t="str">
        <x:v>Foundation Year requirements vary by course. View the full course details or call 01782 491120 to discuss your qualifications.</x:v>
      </x:c>
      <x:c r="K281" s="35" t="str">
        <x:v>https://www.keele.ac.uk/clearing/entry-requirements/</x:v>
      </x:c>
      <x:c r="L281" s="35" t="str">
        <x:v>https://www.keele.ac.uk/study/undergraduate-2026/undergraduatecourses/neuroscience/#foundationyear</x:v>
      </x:c>
      <x:c r="M281" s="33" t="str">
        <x:v>Yes</x:v>
      </x:c>
      <x:c r="N281" s="38" t="n">
        <x:v>46195</x:v>
      </x:c>
      <x:c r="O281" s="35" t="str">
        <x:v>Clearing content team</x:v>
      </x:c>
      <x:c r="P281" s="35" t="str">
        <x:v>Initial import from Clearing vacancies and ER page for 2026.docx</x:v>
      </x:c>
      <x:c r="Q281" s="36" t="str">
        <x:f>IF(A281="","Missing ID",IF(COUNTIF($A$5:$A$1000,A281)&gt;1,"Duplicate ID",IF(C281="","Missing title",IF(D281="","Missing type",IF(E281="","Missing availability",IF(H281="","Missing offer",IF(L281="","Missing course URL",IF(ISERROR(SEARCH("https://www.keele.ac.uk/",L281)),"Non-Keele URL",IF(AND(D281="Foundation year",ISERROR(SEARCH("#foundationyear",L281))),"FY URL missing #foundationyear",IF(M281="","Missing display status",IF(N281="","Missing review date",IF(O281="","Missing owner",IF(P281="","Missing change note","OK")))))))))))))</x:f>
        <x:v>OK</x:v>
      </x:c>
    </x:row>
    <x:row r="282">
      <x:c r="A282" s="33" t="str">
        <x:v>2026-B1C8-UG</x:v>
      </x:c>
      <x:c r="B282" s="37" t="n">
        <x:v>2026</x:v>
      </x:c>
      <x:c r="C282" s="35" t="str">
        <x:v>Neuroscience with Psychology</x:v>
      </x:c>
      <x:c r="D282" s="33" t="str">
        <x:v>Undergraduate</x:v>
      </x:c>
      <x:c r="E282" s="33" t="str">
        <x:v>Vacancies</x:v>
      </x:c>
      <x:c r="F282" s="33" t="str">
        <x:v>B1C8</x:v>
      </x:c>
      <x:c r="G282" s="33" t="str">
        <x:v>BSc (Hons)</x:v>
      </x:c>
      <x:c r="H282" s="35" t="str">
        <x:v>64 UCAS tariff points</x:v>
      </x:c>
      <x:c r="I282" s="35" t="str">
        <x:v>Yes</x:v>
      </x:c>
      <x:c r="J282" s="35" t="str">
        <x:v>This course has additional subject-specific requirements. View the full course details or contact Admissions before applying.</x:v>
      </x:c>
      <x:c r="K282" s="35" t="str">
        <x:v>https://www.keele.ac.uk/clearing/entry-requirements/</x:v>
      </x:c>
      <x:c r="L282" s="35" t="str">
        <x:v>https://www.keele.ac.uk/study/undergraduate-2026/undergraduatecourses/neurosciencewithpsychology/</x:v>
      </x:c>
      <x:c r="M282" s="33" t="str">
        <x:v>Yes</x:v>
      </x:c>
      <x:c r="N282" s="38" t="n">
        <x:v>46195</x:v>
      </x:c>
      <x:c r="O282" s="35" t="str">
        <x:v>Clearing content team</x:v>
      </x:c>
      <x:c r="P282" s="35" t="str">
        <x:v>Initial import from Clearing vacancies and ER page for 2026.docx</x:v>
      </x:c>
      <x:c r="Q282" s="36" t="str">
        <x:f>IF(A282="","Missing ID",IF(COUNTIF($A$5:$A$1000,A282)&gt;1,"Duplicate ID",IF(C282="","Missing title",IF(D282="","Missing type",IF(E282="","Missing availability",IF(H282="","Missing offer",IF(L282="","Missing course URL",IF(ISERROR(SEARCH("https://www.keele.ac.uk/",L282)),"Non-Keele URL",IF(AND(D282="Foundation year",ISERROR(SEARCH("#foundationyear",L282))),"FY URL missing #foundationyear",IF(M282="","Missing display status",IF(N282="","Missing review date",IF(O282="","Missing owner",IF(P282="","Missing change note","OK")))))))))))))</x:f>
        <x:v>OK</x:v>
      </x:c>
    </x:row>
    <x:row r="283">
      <x:c r="A283" s="33" t="str">
        <x:v>2026-neurosciencewithpsychology-FY</x:v>
      </x:c>
      <x:c r="B283" s="37" t="n">
        <x:v>2026</x:v>
      </x:c>
      <x:c r="C283" s="35" t="str">
        <x:v>Neuroscience with Psychology with Foundation Year</x:v>
      </x:c>
      <x:c r="D283" s="33" t="str">
        <x:v>Foundation year</x:v>
      </x:c>
      <x:c r="E283" s="33" t="str">
        <x:v>Vacancies</x:v>
      </x:c>
      <x:c r="F283" s="33" t="str"/>
      <x:c r="G283" s="33" t="str"/>
      <x:c r="H283" s="35" t="str">
        <x:v>Course-specific</x:v>
      </x:c>
      <x:c r="I283" s="35" t="str">
        <x:v>No</x:v>
      </x:c>
      <x:c r="J283" s="35" t="str">
        <x:v>Foundation Year requirements vary by course. View the full course details or call 01782 491120 to discuss your qualifications.</x:v>
      </x:c>
      <x:c r="K283" s="35" t="str">
        <x:v>https://www.keele.ac.uk/clearing/entry-requirements/</x:v>
      </x:c>
      <x:c r="L283" s="35" t="str">
        <x:v>https://www.keele.ac.uk/study/undergraduate-2026/undergraduatecourses/neurosciencewithpsychology/#foundationyear</x:v>
      </x:c>
      <x:c r="M283" s="33" t="str">
        <x:v>Yes</x:v>
      </x:c>
      <x:c r="N283" s="38" t="n">
        <x:v>46195</x:v>
      </x:c>
      <x:c r="O283" s="35" t="str">
        <x:v>Clearing content team</x:v>
      </x:c>
      <x:c r="P283" s="35" t="str">
        <x:v>Initial import from Clearing vacancies and ER page for 2026.docx</x:v>
      </x:c>
      <x:c r="Q283" s="36" t="str">
        <x:f>IF(A283="","Missing ID",IF(COUNTIF($A$5:$A$1000,A283)&gt;1,"Duplicate ID",IF(C283="","Missing title",IF(D283="","Missing type",IF(E283="","Missing availability",IF(H283="","Missing offer",IF(L283="","Missing course URL",IF(ISERROR(SEARCH("https://www.keele.ac.uk/",L283)),"Non-Keele URL",IF(AND(D283="Foundation year",ISERROR(SEARCH("#foundationyear",L283))),"FY URL missing #foundationyear",IF(M283="","Missing display status",IF(N283="","Missing review date",IF(O283="","Missing owner",IF(P283="","Missing change note","OK")))))))))))))</x:f>
        <x:v>OK</x:v>
      </x:c>
    </x:row>
    <x:row r="284">
      <x:c r="A284" s="33" t="str">
        <x:v>2026-B740-UG</x:v>
      </x:c>
      <x:c r="B284" s="37" t="n">
        <x:v>2026</x:v>
      </x:c>
      <x:c r="C284" s="35" t="str">
        <x:v>Nursing (Adult)</x:v>
      </x:c>
      <x:c r="D284" s="33" t="str">
        <x:v>Undergraduate</x:v>
      </x:c>
      <x:c r="E284" s="33" t="str">
        <x:v>Waiting list</x:v>
      </x:c>
      <x:c r="F284" s="33" t="str">
        <x:v>B740</x:v>
      </x:c>
      <x:c r="G284" s="33" t="str">
        <x:v>BSc (Hons)</x:v>
      </x:c>
      <x:c r="H284" s="35" t="str">
        <x:v>64 UCAS tariff points</x:v>
      </x:c>
      <x:c r="I284" s="35" t="str">
        <x:v>Yes</x:v>
      </x:c>
      <x:c r="J284" s="35" t="str">
        <x:v>This course has additional subject-specific requirements. View the full course details or contact Admissions before applying.</x:v>
      </x:c>
      <x:c r="K284" s="35" t="str">
        <x:v>https://www.keele.ac.uk/clearing/entry-requirements/</x:v>
      </x:c>
      <x:c r="L284" s="35" t="str">
        <x:v>https://www.keele.ac.uk/study/undergraduate-2026/undergraduatecourses/adultnursing/</x:v>
      </x:c>
      <x:c r="M284" s="33" t="str">
        <x:v>Yes</x:v>
      </x:c>
      <x:c r="N284" s="38" t="n">
        <x:v>46195</x:v>
      </x:c>
      <x:c r="O284" s="35" t="str">
        <x:v>Clearing content team</x:v>
      </x:c>
      <x:c r="P284" s="35" t="str">
        <x:v>Initial import from Clearing vacancies and ER page for 2026.docx</x:v>
      </x:c>
      <x:c r="Q284" s="36" t="str">
        <x:f>IF(A284="","Missing ID",IF(COUNTIF($A$5:$A$1000,A284)&gt;1,"Duplicate ID",IF(C284="","Missing title",IF(D284="","Missing type",IF(E284="","Missing availability",IF(H284="","Missing offer",IF(L284="","Missing course URL",IF(ISERROR(SEARCH("https://www.keele.ac.uk/",L284)),"Non-Keele URL",IF(AND(D284="Foundation year",ISERROR(SEARCH("#foundationyear",L284))),"FY URL missing #foundationyear",IF(M284="","Missing display status",IF(N284="","Missing review date",IF(O284="","Missing owner",IF(P284="","Missing change note","OK")))))))))))))</x:f>
        <x:v>OK</x:v>
      </x:c>
    </x:row>
    <x:row r="285">
      <x:c r="A285" s="33" t="str">
        <x:v>2026-adultnursing-FY</x:v>
      </x:c>
      <x:c r="B285" s="37" t="n">
        <x:v>2026</x:v>
      </x:c>
      <x:c r="C285" s="35" t="str">
        <x:v>Nursing (Adult) with Foundation Year</x:v>
      </x:c>
      <x:c r="D285" s="33" t="str">
        <x:v>Foundation year</x:v>
      </x:c>
      <x:c r="E285" s="33" t="str">
        <x:v>Vacancies</x:v>
      </x:c>
      <x:c r="F285" s="33" t="str"/>
      <x:c r="G285" s="33" t="str"/>
      <x:c r="H285" s="35" t="str">
        <x:v>Course-specific</x:v>
      </x:c>
      <x:c r="I285" s="35" t="str">
        <x:v>No</x:v>
      </x:c>
      <x:c r="J285" s="35" t="str">
        <x:v>Foundation Year requirements vary by course. View the full course details or call 01782 491120 to discuss your qualifications.</x:v>
      </x:c>
      <x:c r="K285" s="35" t="str">
        <x:v>https://www.keele.ac.uk/clearing/entry-requirements/</x:v>
      </x:c>
      <x:c r="L285" s="35" t="str">
        <x:v>https://www.keele.ac.uk/study/undergraduate-2026/undergraduatecourses/adultnursing/#foundationyear</x:v>
      </x:c>
      <x:c r="M285" s="33" t="str">
        <x:v>Yes</x:v>
      </x:c>
      <x:c r="N285" s="38" t="n">
        <x:v>46195</x:v>
      </x:c>
      <x:c r="O285" s="35" t="str">
        <x:v>Clearing content team</x:v>
      </x:c>
      <x:c r="P285" s="35" t="str">
        <x:v>Initial import from Clearing vacancies and ER page for 2026.docx</x:v>
      </x:c>
      <x:c r="Q285" s="36" t="str">
        <x:f>IF(A285="","Missing ID",IF(COUNTIF($A$5:$A$1000,A285)&gt;1,"Duplicate ID",IF(C285="","Missing title",IF(D285="","Missing type",IF(E285="","Missing availability",IF(H285="","Missing offer",IF(L285="","Missing course URL",IF(ISERROR(SEARCH("https://www.keele.ac.uk/",L285)),"Non-Keele URL",IF(AND(D285="Foundation year",ISERROR(SEARCH("#foundationyear",L285))),"FY URL missing #foundationyear",IF(M285="","Missing display status",IF(N285="","Missing review date",IF(O285="","Missing owner",IF(P285="","Missing change note","OK")))))))))))))</x:f>
        <x:v>OK</x:v>
      </x:c>
    </x:row>
    <x:row r="286">
      <x:c r="A286" s="33" t="str">
        <x:v>2026-B730-UG</x:v>
      </x:c>
      <x:c r="B286" s="37" t="n">
        <x:v>2026</x:v>
      </x:c>
      <x:c r="C286" s="35" t="str">
        <x:v>Nursing (Children's)</x:v>
      </x:c>
      <x:c r="D286" s="33" t="str">
        <x:v>Undergraduate</x:v>
      </x:c>
      <x:c r="E286" s="33" t="str">
        <x:v>Waiting list</x:v>
      </x:c>
      <x:c r="F286" s="33" t="str">
        <x:v>B730</x:v>
      </x:c>
      <x:c r="G286" s="33" t="str">
        <x:v>BSc (Hons)</x:v>
      </x:c>
      <x:c r="H286" s="35" t="str">
        <x:v>112 UCAS tariff points</x:v>
      </x:c>
      <x:c r="I286" s="35" t="str">
        <x:v>Yes</x:v>
      </x:c>
      <x:c r="J286" s="35" t="str">
        <x:v>This course has additional subject-specific requirements. View the full course details or contact Admissions before applying.</x:v>
      </x:c>
      <x:c r="K286" s="35" t="str">
        <x:v>https://www.keele.ac.uk/clearing/entry-requirements/</x:v>
      </x:c>
      <x:c r="L286" s="35" t="str">
        <x:v>https://www.keele.ac.uk/study/undergraduate-2026/undergraduatecourses/childrensnursing/</x:v>
      </x:c>
      <x:c r="M286" s="33" t="str">
        <x:v>Yes</x:v>
      </x:c>
      <x:c r="N286" s="38" t="n">
        <x:v>46195</x:v>
      </x:c>
      <x:c r="O286" s="35" t="str">
        <x:v>Clearing content team</x:v>
      </x:c>
      <x:c r="P286" s="35" t="str">
        <x:v>Initial import from Clearing vacancies and ER page for 2026.docx</x:v>
      </x:c>
      <x:c r="Q286" s="36" t="str">
        <x:f>IF(A286="","Missing ID",IF(COUNTIF($A$5:$A$1000,A286)&gt;1,"Duplicate ID",IF(C286="","Missing title",IF(D286="","Missing type",IF(E286="","Missing availability",IF(H286="","Missing offer",IF(L286="","Missing course URL",IF(ISERROR(SEARCH("https://www.keele.ac.uk/",L286)),"Non-Keele URL",IF(AND(D286="Foundation year",ISERROR(SEARCH("#foundationyear",L286))),"FY URL missing #foundationyear",IF(M286="","Missing display status",IF(N286="","Missing review date",IF(O286="","Missing owner",IF(P286="","Missing change note","OK")))))))))))))</x:f>
        <x:v>OK</x:v>
      </x:c>
    </x:row>
    <x:row r="287">
      <x:c r="A287" s="33" t="str">
        <x:v>2026-childrensnursing-FY</x:v>
      </x:c>
      <x:c r="B287" s="37" t="n">
        <x:v>2026</x:v>
      </x:c>
      <x:c r="C287" s="35" t="str">
        <x:v>Nursing (Children's) with Foundation Year</x:v>
      </x:c>
      <x:c r="D287" s="33" t="str">
        <x:v>Foundation year</x:v>
      </x:c>
      <x:c r="E287" s="33" t="str">
        <x:v>Limited vacancies</x:v>
      </x:c>
      <x:c r="F287" s="33" t="str"/>
      <x:c r="G287" s="33" t="str"/>
      <x:c r="H287" s="35" t="str">
        <x:v>Course-specific</x:v>
      </x:c>
      <x:c r="I287" s="35" t="str">
        <x:v>No</x:v>
      </x:c>
      <x:c r="J287" s="35" t="str">
        <x:v>Foundation Year requirements vary by course. View the full course details or call 01782 491120 to discuss your qualifications.</x:v>
      </x:c>
      <x:c r="K287" s="35" t="str">
        <x:v>https://www.keele.ac.uk/clearing/entry-requirements/</x:v>
      </x:c>
      <x:c r="L287" s="35" t="str">
        <x:v>https://www.keele.ac.uk/study/undergraduate-2026/undergraduatecourses/childrensnursing/#foundationyear</x:v>
      </x:c>
      <x:c r="M287" s="33" t="str">
        <x:v>Yes</x:v>
      </x:c>
      <x:c r="N287" s="38" t="n">
        <x:v>46195</x:v>
      </x:c>
      <x:c r="O287" s="35" t="str">
        <x:v>Clearing content team</x:v>
      </x:c>
      <x:c r="P287" s="35" t="str">
        <x:v>Initial import from Clearing vacancies and ER page for 2026.docx</x:v>
      </x:c>
      <x:c r="Q287" s="36" t="str">
        <x:f>IF(A287="","Missing ID",IF(COUNTIF($A$5:$A$1000,A287)&gt;1,"Duplicate ID",IF(C287="","Missing title",IF(D287="","Missing type",IF(E287="","Missing availability",IF(H287="","Missing offer",IF(L287="","Missing course URL",IF(ISERROR(SEARCH("https://www.keele.ac.uk/",L287)),"Non-Keele URL",IF(AND(D287="Foundation year",ISERROR(SEARCH("#foundationyear",L287))),"FY URL missing #foundationyear",IF(M287="","Missing display status",IF(N287="","Missing review date",IF(O287="","Missing owner",IF(P287="","Missing change note","OK")))))))))))))</x:f>
        <x:v>OK</x:v>
      </x:c>
    </x:row>
    <x:row r="288">
      <x:c r="A288" s="33" t="str">
        <x:v>2026-B760-UG</x:v>
      </x:c>
      <x:c r="B288" s="37" t="n">
        <x:v>2026</x:v>
      </x:c>
      <x:c r="C288" s="35" t="str">
        <x:v>Nursing (Mental Health)</x:v>
      </x:c>
      <x:c r="D288" s="33" t="str">
        <x:v>Undergraduate</x:v>
      </x:c>
      <x:c r="E288" s="33" t="str">
        <x:v>Limited vacancies</x:v>
      </x:c>
      <x:c r="F288" s="33" t="str">
        <x:v>B760</x:v>
      </x:c>
      <x:c r="G288" s="33" t="str">
        <x:v>BSc (Hons)</x:v>
      </x:c>
      <x:c r="H288" s="35" t="str">
        <x:v>64 UCAS tariff points</x:v>
      </x:c>
      <x:c r="I288" s="35" t="str">
        <x:v>Yes</x:v>
      </x:c>
      <x:c r="J288" s="35" t="str">
        <x:v>This course has additional subject-specific requirements. View the full course details or contact Admissions before applying.</x:v>
      </x:c>
      <x:c r="K288" s="35" t="str">
        <x:v>https://www.keele.ac.uk/clearing/entry-requirements/</x:v>
      </x:c>
      <x:c r="L288" s="35" t="str">
        <x:v>https://www.keele.ac.uk/study/undergraduate-2026/undergraduatecourses/mentalhealthnursing/</x:v>
      </x:c>
      <x:c r="M288" s="33" t="str">
        <x:v>Yes</x:v>
      </x:c>
      <x:c r="N288" s="38" t="n">
        <x:v>46195</x:v>
      </x:c>
      <x:c r="O288" s="35" t="str">
        <x:v>Clearing content team</x:v>
      </x:c>
      <x:c r="P288" s="35" t="str">
        <x:v>Initial import from Clearing vacancies and ER page for 2026.docx</x:v>
      </x:c>
      <x:c r="Q288" s="36" t="str">
        <x:f>IF(A288="","Missing ID",IF(COUNTIF($A$5:$A$1000,A288)&gt;1,"Duplicate ID",IF(C288="","Missing title",IF(D288="","Missing type",IF(E288="","Missing availability",IF(H288="","Missing offer",IF(L288="","Missing course URL",IF(ISERROR(SEARCH("https://www.keele.ac.uk/",L288)),"Non-Keele URL",IF(AND(D288="Foundation year",ISERROR(SEARCH("#foundationyear",L288))),"FY URL missing #foundationyear",IF(M288="","Missing display status",IF(N288="","Missing review date",IF(O288="","Missing owner",IF(P288="","Missing change note","OK")))))))))))))</x:f>
        <x:v>OK</x:v>
      </x:c>
    </x:row>
    <x:row r="289">
      <x:c r="A289" s="33" t="str">
        <x:v>2026-mentalhealthnursing-FY</x:v>
      </x:c>
      <x:c r="B289" s="37" t="n">
        <x:v>2026</x:v>
      </x:c>
      <x:c r="C289" s="35" t="str">
        <x:v>Nursing (Mental Health) with Foundation Year</x:v>
      </x:c>
      <x:c r="D289" s="33" t="str">
        <x:v>Foundation year</x:v>
      </x:c>
      <x:c r="E289" s="33" t="str">
        <x:v>Vacancies</x:v>
      </x:c>
      <x:c r="F289" s="33" t="str"/>
      <x:c r="G289" s="33" t="str"/>
      <x:c r="H289" s="35" t="str">
        <x:v>Course-specific</x:v>
      </x:c>
      <x:c r="I289" s="35" t="str">
        <x:v>No</x:v>
      </x:c>
      <x:c r="J289" s="35" t="str">
        <x:v>Foundation Year requirements vary by course. View the full course details or call 01782 491120 to discuss your qualifications.</x:v>
      </x:c>
      <x:c r="K289" s="35" t="str">
        <x:v>https://www.keele.ac.uk/clearing/entry-requirements/</x:v>
      </x:c>
      <x:c r="L289" s="35" t="str">
        <x:v>https://www.keele.ac.uk/study/undergraduate-2026/undergraduatecourses/mentalhealthnursing/#foundationyear</x:v>
      </x:c>
      <x:c r="M289" s="33" t="str">
        <x:v>Yes</x:v>
      </x:c>
      <x:c r="N289" s="38" t="n">
        <x:v>46195</x:v>
      </x:c>
      <x:c r="O289" s="35" t="str">
        <x:v>Clearing content team</x:v>
      </x:c>
      <x:c r="P289" s="35" t="str">
        <x:v>Initial import from Clearing vacancies and ER page for 2026.docx</x:v>
      </x:c>
      <x:c r="Q289" s="36" t="str">
        <x:f>IF(A289="","Missing ID",IF(COUNTIF($A$5:$A$1000,A289)&gt;1,"Duplicate ID",IF(C289="","Missing title",IF(D289="","Missing type",IF(E289="","Missing availability",IF(H289="","Missing offer",IF(L289="","Missing course URL",IF(ISERROR(SEARCH("https://www.keele.ac.uk/",L289)),"Non-Keele URL",IF(AND(D289="Foundation year",ISERROR(SEARCH("#foundationyear",L289))),"FY URL missing #foundationyear",IF(M289="","Missing display status",IF(N289="","Missing review date",IF(O289="","Missing owner",IF(P289="","Missing change note","OK")))))))))))))</x:f>
        <x:v>OK</x:v>
      </x:c>
    </x:row>
    <x:row r="290">
      <x:c r="A290" s="33" t="str">
        <x:v>2026-B750-UG</x:v>
      </x:c>
      <x:c r="B290" s="37" t="n">
        <x:v>2026</x:v>
      </x:c>
      <x:c r="C290" s="35" t="str">
        <x:v>Nursing Associate Foundation Degree</x:v>
      </x:c>
      <x:c r="D290" s="33" t="str">
        <x:v>Undergraduate</x:v>
      </x:c>
      <x:c r="E290" s="33" t="str">
        <x:v>Vacancies</x:v>
      </x:c>
      <x:c r="F290" s="33" t="str">
        <x:v>B750</x:v>
      </x:c>
      <x:c r="G290" s="33" t="str">
        <x:v>FdSc</x:v>
      </x:c>
      <x:c r="H290" s="35" t="str">
        <x:v>64 UCAS tariff points</x:v>
      </x:c>
      <x:c r="I290" s="35" t="str">
        <x:v>No</x:v>
      </x:c>
      <x:c r="J290" s="35" t="str">
        <x:v>Most undergraduate courses require GCSE English Language at grade 4/C or equivalent. Some courses also require GCSE Mathematics at grade 4/C or equivalent.</x:v>
      </x:c>
      <x:c r="K290" s="35" t="str">
        <x:v>https://www.keele.ac.uk/clearing/entry-requirements/</x:v>
      </x:c>
      <x:c r="L290" s="35" t="str">
        <x:v>https://www.keele.ac.uk/study/undergraduate-2026/undergraduatecourses/nursingassociatefoundationdegree/</x:v>
      </x:c>
      <x:c r="M290" s="33" t="str">
        <x:v>Yes</x:v>
      </x:c>
      <x:c r="N290" s="38" t="n">
        <x:v>46195</x:v>
      </x:c>
      <x:c r="O290" s="35" t="str">
        <x:v>Clearing content team</x:v>
      </x:c>
      <x:c r="P290" s="35" t="str">
        <x:v>Initial import from Clearing vacancies and ER page for 2026.docx</x:v>
      </x:c>
      <x:c r="Q290" s="36" t="str">
        <x:f>IF(A290="","Missing ID",IF(COUNTIF($A$5:$A$1000,A290)&gt;1,"Duplicate ID",IF(C290="","Missing title",IF(D290="","Missing type",IF(E290="","Missing availability",IF(H290="","Missing offer",IF(L290="","Missing course URL",IF(ISERROR(SEARCH("https://www.keele.ac.uk/",L290)),"Non-Keele URL",IF(AND(D290="Foundation year",ISERROR(SEARCH("#foundationyear",L290))),"FY URL missing #foundationyear",IF(M290="","Missing display status",IF(N290="","Missing review date",IF(O290="","Missing owner",IF(P290="","Missing change note","OK")))))))))))))</x:f>
        <x:v>OK</x:v>
      </x:c>
    </x:row>
    <x:row r="291">
      <x:c r="A291" s="33" t="str">
        <x:v>2026-nursingstudies-international-pathway-UG</x:v>
      </x:c>
      <x:c r="B291" s="37" t="n">
        <x:v>2026</x:v>
      </x:c>
      <x:c r="C291" s="35" t="str">
        <x:v>Nursing Studies (International Pathway) | Top-up</x:v>
      </x:c>
      <x:c r="D291" s="33" t="str">
        <x:v>Undergraduate</x:v>
      </x:c>
      <x:c r="E291" s="33" t="str">
        <x:v>Vacancies</x:v>
      </x:c>
      <x:c r="F291" s="33" t="str"/>
      <x:c r="G291" s="33" t="str">
        <x:v>BSc (Hons)</x:v>
      </x:c>
      <x:c r="H291" s="35" t="str">
        <x:v>Course-specific</x:v>
      </x:c>
      <x:c r="I291" s="35" t="str">
        <x:v>No</x:v>
      </x:c>
      <x:c r="J291" s="35" t="str">
        <x:v>Most undergraduate courses require GCSE English Language at grade 4/C or equivalent. Some courses also require GCSE Mathematics at grade 4/C or equivalent.</x:v>
      </x:c>
      <x:c r="K291" s="35" t="str">
        <x:v>https://www.keele.ac.uk/clearing/entry-requirements/</x:v>
      </x:c>
      <x:c r="L291" s="35" t="str">
        <x:v>https://www.keele.ac.uk/study/undergraduate-2026/undergraduatecourses/nursingstudies-international-pathway/</x:v>
      </x:c>
      <x:c r="M291" s="33" t="str">
        <x:v>Yes</x:v>
      </x:c>
      <x:c r="N291" s="38" t="n">
        <x:v>46195</x:v>
      </x:c>
      <x:c r="O291" s="35" t="str">
        <x:v>Clearing content team</x:v>
      </x:c>
      <x:c r="P291" s="35" t="str">
        <x:v>Initial import from Clearing vacancies and ER page for 2026.docx</x:v>
      </x:c>
      <x:c r="Q291" s="36" t="str">
        <x:f>IF(A291="","Missing ID",IF(COUNTIF($A$5:$A$1000,A291)&gt;1,"Duplicate ID",IF(C291="","Missing title",IF(D291="","Missing type",IF(E291="","Missing availability",IF(H291="","Missing offer",IF(L291="","Missing course URL",IF(ISERROR(SEARCH("https://www.keele.ac.uk/",L291)),"Non-Keele URL",IF(AND(D291="Foundation year",ISERROR(SEARCH("#foundationyear",L291))),"FY URL missing #foundationyear",IF(M291="","Missing display status",IF(N291="","Missing review date",IF(O291="","Missing owner",IF(P291="","Missing change note","OK")))))))))))))</x:f>
        <x:v>OK</x:v>
      </x:c>
    </x:row>
    <x:row r="292">
      <x:c r="A292" s="33" t="str">
        <x:v>2026-nursingstudies-UG</x:v>
      </x:c>
      <x:c r="B292" s="37" t="n">
        <x:v>2026</x:v>
      </x:c>
      <x:c r="C292" s="35" t="str">
        <x:v>Nursing Studies | Top-up</x:v>
      </x:c>
      <x:c r="D292" s="33" t="str">
        <x:v>Undergraduate</x:v>
      </x:c>
      <x:c r="E292" s="33" t="str">
        <x:v>Vacancies</x:v>
      </x:c>
      <x:c r="F292" s="33" t="str"/>
      <x:c r="G292" s="33" t="str">
        <x:v>BSc (Hons)</x:v>
      </x:c>
      <x:c r="H292" s="35" t="str">
        <x:v>Course-specific</x:v>
      </x:c>
      <x:c r="I292" s="35" t="str">
        <x:v>No</x:v>
      </x:c>
      <x:c r="J292" s="35" t="str">
        <x:v>Most undergraduate courses require GCSE English Language at grade 4/C or equivalent. Some courses also require GCSE Mathematics at grade 4/C or equivalent.</x:v>
      </x:c>
      <x:c r="K292" s="35" t="str">
        <x:v>https://www.keele.ac.uk/clearing/entry-requirements/</x:v>
      </x:c>
      <x:c r="L292" s="35" t="str">
        <x:v>https://www.keele.ac.uk/study/undergraduate-2026/undergraduatecourses/nursingstudies/</x:v>
      </x:c>
      <x:c r="M292" s="33" t="str">
        <x:v>Yes</x:v>
      </x:c>
      <x:c r="N292" s="38" t="n">
        <x:v>46195</x:v>
      </x:c>
      <x:c r="O292" s="35" t="str">
        <x:v>Clearing content team</x:v>
      </x:c>
      <x:c r="P292" s="35" t="str">
        <x:v>Initial import from Clearing vacancies and ER page for 2026.docx</x:v>
      </x:c>
      <x:c r="Q292" s="36" t="str">
        <x:f>IF(A292="","Missing ID",IF(COUNTIF($A$5:$A$1000,A292)&gt;1,"Duplicate ID",IF(C292="","Missing title",IF(D292="","Missing type",IF(E292="","Missing availability",IF(H292="","Missing offer",IF(L292="","Missing course URL",IF(ISERROR(SEARCH("https://www.keele.ac.uk/",L292)),"Non-Keele URL",IF(AND(D292="Foundation year",ISERROR(SEARCH("#foundationyear",L292))),"FY URL missing #foundationyear",IF(M292="","Missing display status",IF(N292="","Missing review date",IF(O292="","Missing owner",IF(P292="","Missing change note","OK")))))))))))))</x:f>
        <x:v>OK</x:v>
      </x:c>
    </x:row>
    <x:row r="293">
      <x:c r="A293" s="33" t="str">
        <x:v>2026-B920-UG</x:v>
      </x:c>
      <x:c r="B293" s="37" t="n">
        <x:v>2026</x:v>
      </x:c>
      <x:c r="C293" s="35" t="str">
        <x:v>Occupational Therapy</x:v>
      </x:c>
      <x:c r="D293" s="33" t="str">
        <x:v>Undergraduate</x:v>
      </x:c>
      <x:c r="E293" s="33" t="str">
        <x:v>Waiting list</x:v>
      </x:c>
      <x:c r="F293" s="33" t="str">
        <x:v>B920</x:v>
      </x:c>
      <x:c r="G293" s="33" t="str">
        <x:v>BSc (Hons)</x:v>
      </x:c>
      <x:c r="H293" s="35" t="str">
        <x:v>120 UCAS tariff points</x:v>
      </x:c>
      <x:c r="I293" s="35" t="str">
        <x:v>Yes</x:v>
      </x:c>
      <x:c r="J293" s="35" t="str">
        <x:v>This course has additional subject-specific requirements. View the full course details or contact Admissions before applying.</x:v>
      </x:c>
      <x:c r="K293" s="35" t="str">
        <x:v>https://www.keele.ac.uk/clearing/entry-requirements/</x:v>
      </x:c>
      <x:c r="L293" s="35" t="str">
        <x:v>https://www.keele.ac.uk/study/undergraduate-2026/undergraduatecourses/occupationaltherapy/</x:v>
      </x:c>
      <x:c r="M293" s="33" t="str">
        <x:v>Yes</x:v>
      </x:c>
      <x:c r="N293" s="38" t="n">
        <x:v>46195</x:v>
      </x:c>
      <x:c r="O293" s="35" t="str">
        <x:v>Clearing content team</x:v>
      </x:c>
      <x:c r="P293" s="35" t="str">
        <x:v>Initial import from Clearing vacancies and ER page for 2026.docx</x:v>
      </x:c>
      <x:c r="Q293" s="36" t="str">
        <x:f>IF(A293="","Missing ID",IF(COUNTIF($A$5:$A$1000,A293)&gt;1,"Duplicate ID",IF(C293="","Missing title",IF(D293="","Missing type",IF(E293="","Missing availability",IF(H293="","Missing offer",IF(L293="","Missing course URL",IF(ISERROR(SEARCH("https://www.keele.ac.uk/",L293)),"Non-Keele URL",IF(AND(D293="Foundation year",ISERROR(SEARCH("#foundationyear",L293))),"FY URL missing #foundationyear",IF(M293="","Missing display status",IF(N293="","Missing review date",IF(O293="","Missing owner",IF(P293="","Missing change note","OK")))))))))))))</x:f>
        <x:v>OK</x:v>
      </x:c>
    </x:row>
    <x:row r="294">
      <x:c r="A294" s="33" t="str">
        <x:v>2026-occupationaltherapy-FY</x:v>
      </x:c>
      <x:c r="B294" s="37" t="n">
        <x:v>2026</x:v>
      </x:c>
      <x:c r="C294" s="35" t="str">
        <x:v>Occupational Therapy with Foundation Year</x:v>
      </x:c>
      <x:c r="D294" s="33" t="str">
        <x:v>Foundation year</x:v>
      </x:c>
      <x:c r="E294" s="33" t="str">
        <x:v>Vacancies</x:v>
      </x:c>
      <x:c r="F294" s="33" t="str"/>
      <x:c r="G294" s="33" t="str"/>
      <x:c r="H294" s="35" t="str">
        <x:v>Course-specific</x:v>
      </x:c>
      <x:c r="I294" s="35" t="str">
        <x:v>No</x:v>
      </x:c>
      <x:c r="J294" s="35" t="str">
        <x:v>Foundation Year requirements vary by course. View the full course details or call 01782 491120 to discuss your qualifications.</x:v>
      </x:c>
      <x:c r="K294" s="35" t="str">
        <x:v>https://www.keele.ac.uk/clearing/entry-requirements/</x:v>
      </x:c>
      <x:c r="L294" s="35" t="str">
        <x:v>https://www.keele.ac.uk/study/undergraduate-2026/undergraduatecourses/occupationaltherapy/#foundationyear</x:v>
      </x:c>
      <x:c r="M294" s="33" t="str">
        <x:v>Yes</x:v>
      </x:c>
      <x:c r="N294" s="38" t="n">
        <x:v>46195</x:v>
      </x:c>
      <x:c r="O294" s="35" t="str">
        <x:v>Clearing content team</x:v>
      </x:c>
      <x:c r="P294" s="35" t="str">
        <x:v>Initial import from Clearing vacancies and ER page for 2026.docx</x:v>
      </x:c>
      <x:c r="Q294" s="36" t="str">
        <x:f>IF(A294="","Missing ID",IF(COUNTIF($A$5:$A$1000,A294)&gt;1,"Duplicate ID",IF(C294="","Missing title",IF(D294="","Missing type",IF(E294="","Missing availability",IF(H294="","Missing offer",IF(L294="","Missing course URL",IF(ISERROR(SEARCH("https://www.keele.ac.uk/",L294)),"Non-Keele URL",IF(AND(D294="Foundation year",ISERROR(SEARCH("#foundationyear",L294))),"FY URL missing #foundationyear",IF(M294="","Missing display status",IF(N294="","Missing review date",IF(O294="","Missing owner",IF(P294="","Missing change note","OK")))))))))))))</x:f>
        <x:v>OK</x:v>
      </x:c>
    </x:row>
    <x:row r="295">
      <x:c r="A295" s="33" t="str">
        <x:v>2026-B950-UG</x:v>
      </x:c>
      <x:c r="B295" s="37" t="n">
        <x:v>2026</x:v>
      </x:c>
      <x:c r="C295" s="35" t="str">
        <x:v>Paramedic Science with Integrated Master's</x:v>
      </x:c>
      <x:c r="D295" s="33" t="str">
        <x:v>Undergraduate</x:v>
      </x:c>
      <x:c r="E295" s="33" t="str">
        <x:v>Limited vacancies</x:v>
      </x:c>
      <x:c r="F295" s="33" t="str">
        <x:v>B950</x:v>
      </x:c>
      <x:c r="G295" s="33" t="str">
        <x:v>MSci</x:v>
      </x:c>
      <x:c r="H295" s="35" t="str">
        <x:v>112 UCAS tariff points</x:v>
      </x:c>
      <x:c r="I295" s="35" t="str">
        <x:v>Yes</x:v>
      </x:c>
      <x:c r="J295" s="35" t="str">
        <x:v>This course has additional subject-specific requirements. View the full course details or contact Admissions before applying.</x:v>
      </x:c>
      <x:c r="K295" s="35" t="str">
        <x:v>https://www.keele.ac.uk/clearing/entry-requirements/</x:v>
      </x:c>
      <x:c r="L295" s="35" t="str">
        <x:v>https://www.keele.ac.uk/study/undergraduate-2026/undergraduatecourses/paramedicsciencewithintegratedmasters/</x:v>
      </x:c>
      <x:c r="M295" s="33" t="str">
        <x:v>Yes</x:v>
      </x:c>
      <x:c r="N295" s="38" t="n">
        <x:v>46195</x:v>
      </x:c>
      <x:c r="O295" s="35" t="str">
        <x:v>Clearing content team</x:v>
      </x:c>
      <x:c r="P295" s="35" t="str">
        <x:v>Initial import from Clearing vacancies and ER page for 2026.docx</x:v>
      </x:c>
      <x:c r="Q295" s="36" t="str">
        <x:f>IF(A295="","Missing ID",IF(COUNTIF($A$5:$A$1000,A295)&gt;1,"Duplicate ID",IF(C295="","Missing title",IF(D295="","Missing type",IF(E295="","Missing availability",IF(H295="","Missing offer",IF(L295="","Missing course URL",IF(ISERROR(SEARCH("https://www.keele.ac.uk/",L295)),"Non-Keele URL",IF(AND(D295="Foundation year",ISERROR(SEARCH("#foundationyear",L295))),"FY URL missing #foundationyear",IF(M295="","Missing display status",IF(N295="","Missing review date",IF(O295="","Missing owner",IF(P295="","Missing change note","OK")))))))))))))</x:f>
        <x:v>OK</x:v>
      </x:c>
    </x:row>
    <x:row r="296">
      <x:c r="A296" s="33" t="str">
        <x:v>2026-paramedicsciencewithintegratedmasters-FY</x:v>
      </x:c>
      <x:c r="B296" s="37" t="n">
        <x:v>2026</x:v>
      </x:c>
      <x:c r="C296" s="35" t="str">
        <x:v>Paramedic Science with Integrated Master's with Foundation Year</x:v>
      </x:c>
      <x:c r="D296" s="33" t="str">
        <x:v>Foundation year</x:v>
      </x:c>
      <x:c r="E296" s="33" t="str">
        <x:v>Vacancies</x:v>
      </x:c>
      <x:c r="F296" s="33" t="str"/>
      <x:c r="G296" s="33" t="str"/>
      <x:c r="H296" s="35" t="str">
        <x:v>Course-specific</x:v>
      </x:c>
      <x:c r="I296" s="35" t="str">
        <x:v>No</x:v>
      </x:c>
      <x:c r="J296" s="35" t="str">
        <x:v>Foundation Year requirements vary by course. View the full course details or call 01782 491120 to discuss your qualifications.</x:v>
      </x:c>
      <x:c r="K296" s="35" t="str">
        <x:v>https://www.keele.ac.uk/clearing/entry-requirements/</x:v>
      </x:c>
      <x:c r="L296" s="35" t="str">
        <x:v>https://www.keele.ac.uk/study/undergraduate-2026/undergraduatecourses/paramedicsciencewithintegratedmasters/#foundationyear</x:v>
      </x:c>
      <x:c r="M296" s="33" t="str">
        <x:v>Yes</x:v>
      </x:c>
      <x:c r="N296" s="38" t="n">
        <x:v>46195</x:v>
      </x:c>
      <x:c r="O296" s="35" t="str">
        <x:v>Clearing content team</x:v>
      </x:c>
      <x:c r="P296" s="35" t="str">
        <x:v>Initial import from Clearing vacancies and ER page for 2026.docx</x:v>
      </x:c>
      <x:c r="Q296" s="36" t="str">
        <x:f>IF(A296="","Missing ID",IF(COUNTIF($A$5:$A$1000,A296)&gt;1,"Duplicate ID",IF(C296="","Missing title",IF(D296="","Missing type",IF(E296="","Missing availability",IF(H296="","Missing offer",IF(L296="","Missing course URL",IF(ISERROR(SEARCH("https://www.keele.ac.uk/",L296)),"Non-Keele URL",IF(AND(D296="Foundation year",ISERROR(SEARCH("#foundationyear",L296))),"FY URL missing #foundationyear",IF(M296="","Missing display status",IF(N296="","Missing review date",IF(O296="","Missing owner",IF(P296="","Missing change note","OK")))))))))))))</x:f>
        <x:v>OK</x:v>
      </x:c>
    </x:row>
    <x:row r="297">
      <x:c r="A297" s="33" t="str">
        <x:v>2026-pharmaceuticalscience-UG</x:v>
      </x:c>
      <x:c r="B297" s="37" t="n">
        <x:v>2026</x:v>
      </x:c>
      <x:c r="C297" s="35" t="str">
        <x:v>Pharmaceutical Science</x:v>
      </x:c>
      <x:c r="D297" s="33" t="str">
        <x:v>Undergraduate</x:v>
      </x:c>
      <x:c r="E297" s="33" t="str">
        <x:v>Vacancies</x:v>
      </x:c>
      <x:c r="F297" s="33" t="str"/>
      <x:c r="G297" s="33" t="str">
        <x:v>BSc (Hons)</x:v>
      </x:c>
      <x:c r="H297" s="35" t="str">
        <x:v>64 UCAS tariff points</x:v>
      </x:c>
      <x:c r="I297" s="35" t="str">
        <x:v>Yes</x:v>
      </x:c>
      <x:c r="J297" s="35" t="str">
        <x:v>This course has additional subject-specific requirements. View the full course details or contact Admissions before applying.</x:v>
      </x:c>
      <x:c r="K297" s="35" t="str">
        <x:v>https://www.keele.ac.uk/clearing/entry-requirements/</x:v>
      </x:c>
      <x:c r="L297" s="35" t="str">
        <x:v>https://www.keele.ac.uk/study/undergraduate-2026/undergraduatecourses/pharmaceuticalscience/</x:v>
      </x:c>
      <x:c r="M297" s="33" t="str">
        <x:v>Yes</x:v>
      </x:c>
      <x:c r="N297" s="38" t="n">
        <x:v>46195</x:v>
      </x:c>
      <x:c r="O297" s="35" t="str">
        <x:v>Clearing content team</x:v>
      </x:c>
      <x:c r="P297" s="35" t="str">
        <x:v>Initial import from Clearing vacancies and ER page for 2026.docx</x:v>
      </x:c>
      <x:c r="Q297" s="36" t="str">
        <x:f>IF(A297="","Missing ID",IF(COUNTIF($A$5:$A$1000,A297)&gt;1,"Duplicate ID",IF(C297="","Missing title",IF(D297="","Missing type",IF(E297="","Missing availability",IF(H297="","Missing offer",IF(L297="","Missing course URL",IF(ISERROR(SEARCH("https://www.keele.ac.uk/",L297)),"Non-Keele URL",IF(AND(D297="Foundation year",ISERROR(SEARCH("#foundationyear",L297))),"FY URL missing #foundationyear",IF(M297="","Missing display status",IF(N297="","Missing review date",IF(O297="","Missing owner",IF(P297="","Missing change note","OK")))))))))))))</x:f>
        <x:v>OK</x:v>
      </x:c>
    </x:row>
    <x:row r="298">
      <x:c r="A298" s="33" t="str">
        <x:v>2026-pharmaceuticalscience-FY</x:v>
      </x:c>
      <x:c r="B298" s="37" t="n">
        <x:v>2026</x:v>
      </x:c>
      <x:c r="C298" s="35" t="str">
        <x:v>Pharmaceutical Science with Foundation Year</x:v>
      </x:c>
      <x:c r="D298" s="33" t="str">
        <x:v>Foundation year</x:v>
      </x:c>
      <x:c r="E298" s="33" t="str">
        <x:v>Vacancies</x:v>
      </x:c>
      <x:c r="F298" s="33" t="str"/>
      <x:c r="G298" s="33" t="str"/>
      <x:c r="H298" s="35" t="str">
        <x:v>Course-specific</x:v>
      </x:c>
      <x:c r="I298" s="35" t="str">
        <x:v>No</x:v>
      </x:c>
      <x:c r="J298" s="35" t="str">
        <x:v>Foundation Year requirements vary by course. View the full course details or call 01782 491120 to discuss your qualifications.</x:v>
      </x:c>
      <x:c r="K298" s="35" t="str">
        <x:v>https://www.keele.ac.uk/clearing/entry-requirements/</x:v>
      </x:c>
      <x:c r="L298" s="35" t="str">
        <x:v>https://www.keele.ac.uk/study/undergraduate-2026/undergraduatecourses/pharmaceuticalscience/#foundationyear</x:v>
      </x:c>
      <x:c r="M298" s="33" t="str">
        <x:v>Yes</x:v>
      </x:c>
      <x:c r="N298" s="38" t="n">
        <x:v>46195</x:v>
      </x:c>
      <x:c r="O298" s="35" t="str">
        <x:v>Clearing content team</x:v>
      </x:c>
      <x:c r="P298" s="35" t="str">
        <x:v>Initial import from Clearing vacancies and ER page for 2026.docx</x:v>
      </x:c>
      <x:c r="Q298" s="36" t="str">
        <x:f>IF(A298="","Missing ID",IF(COUNTIF($A$5:$A$1000,A298)&gt;1,"Duplicate ID",IF(C298="","Missing title",IF(D298="","Missing type",IF(E298="","Missing availability",IF(H298="","Missing offer",IF(L298="","Missing course URL",IF(ISERROR(SEARCH("https://www.keele.ac.uk/",L298)),"Non-Keele URL",IF(AND(D298="Foundation year",ISERROR(SEARCH("#foundationyear",L298))),"FY URL missing #foundationyear",IF(M298="","Missing display status",IF(N298="","Missing review date",IF(O298="","Missing owner",IF(P298="","Missing change note","OK")))))))))))))</x:f>
        <x:v>OK</x:v>
      </x:c>
    </x:row>
    <x:row r="299">
      <x:c r="A299" s="33" t="str">
        <x:v>2026-B210-UG</x:v>
      </x:c>
      <x:c r="B299" s="37" t="n">
        <x:v>2026</x:v>
      </x:c>
      <x:c r="C299" s="35" t="str">
        <x:v>Pharmacology</x:v>
      </x:c>
      <x:c r="D299" s="33" t="str">
        <x:v>Undergraduate</x:v>
      </x:c>
      <x:c r="E299" s="33" t="str">
        <x:v>Vacancies</x:v>
      </x:c>
      <x:c r="F299" s="33" t="str">
        <x:v>B210</x:v>
      </x:c>
      <x:c r="G299" s="33" t="str">
        <x:v>BSc (Hons)</x:v>
      </x:c>
      <x:c r="H299" s="35" t="str">
        <x:v>64 UCAS tariff points</x:v>
      </x:c>
      <x:c r="I299" s="35" t="str">
        <x:v>Yes</x:v>
      </x:c>
      <x:c r="J299" s="35" t="str">
        <x:v>This course has additional subject-specific requirements. View the full course details or contact Admissions before applying.</x:v>
      </x:c>
      <x:c r="K299" s="35" t="str">
        <x:v>https://www.keele.ac.uk/clearing/entry-requirements/</x:v>
      </x:c>
      <x:c r="L299" s="35" t="str">
        <x:v>https://www.keele.ac.uk/study/undergraduate-2026/undergraduatecourses/pharmacology/</x:v>
      </x:c>
      <x:c r="M299" s="33" t="str">
        <x:v>Yes</x:v>
      </x:c>
      <x:c r="N299" s="38" t="n">
        <x:v>46195</x:v>
      </x:c>
      <x:c r="O299" s="35" t="str">
        <x:v>Clearing content team</x:v>
      </x:c>
      <x:c r="P299" s="35" t="str">
        <x:v>Initial import from Clearing vacancies and ER page for 2026.docx</x:v>
      </x:c>
      <x:c r="Q299" s="36" t="str">
        <x:f>IF(A299="","Missing ID",IF(COUNTIF($A$5:$A$1000,A299)&gt;1,"Duplicate ID",IF(C299="","Missing title",IF(D299="","Missing type",IF(E299="","Missing availability",IF(H299="","Missing offer",IF(L299="","Missing course URL",IF(ISERROR(SEARCH("https://www.keele.ac.uk/",L299)),"Non-Keele URL",IF(AND(D299="Foundation year",ISERROR(SEARCH("#foundationyear",L299))),"FY URL missing #foundationyear",IF(M299="","Missing display status",IF(N299="","Missing review date",IF(O299="","Missing owner",IF(P299="","Missing change note","OK")))))))))))))</x:f>
        <x:v>OK</x:v>
      </x:c>
    </x:row>
    <x:row r="300">
      <x:c r="A300" s="33" t="str">
        <x:v>2026-pharmacology-FY</x:v>
      </x:c>
      <x:c r="B300" s="37" t="n">
        <x:v>2026</x:v>
      </x:c>
      <x:c r="C300" s="35" t="str">
        <x:v>Pharmacology with Foundation Year</x:v>
      </x:c>
      <x:c r="D300" s="33" t="str">
        <x:v>Foundation year</x:v>
      </x:c>
      <x:c r="E300" s="33" t="str">
        <x:v>Vacancies</x:v>
      </x:c>
      <x:c r="F300" s="33" t="str"/>
      <x:c r="G300" s="33" t="str"/>
      <x:c r="H300" s="35" t="str">
        <x:v>Course-specific</x:v>
      </x:c>
      <x:c r="I300" s="35" t="str">
        <x:v>No</x:v>
      </x:c>
      <x:c r="J300" s="35" t="str">
        <x:v>Foundation Year requirements vary by course. View the full course details or call 01782 491120 to discuss your qualifications.</x:v>
      </x:c>
      <x:c r="K300" s="35" t="str">
        <x:v>https://www.keele.ac.uk/clearing/entry-requirements/</x:v>
      </x:c>
      <x:c r="L300" s="35" t="str">
        <x:v>https://www.keele.ac.uk/study/undergraduate-2026/undergraduatecourses/pharmacology/#foundationyear</x:v>
      </x:c>
      <x:c r="M300" s="33" t="str">
        <x:v>Yes</x:v>
      </x:c>
      <x:c r="N300" s="38" t="n">
        <x:v>46195</x:v>
      </x:c>
      <x:c r="O300" s="35" t="str">
        <x:v>Clearing content team</x:v>
      </x:c>
      <x:c r="P300" s="35" t="str">
        <x:v>Initial import from Clearing vacancies and ER page for 2026.docx</x:v>
      </x:c>
      <x:c r="Q300" s="36" t="str">
        <x:f>IF(A300="","Missing ID",IF(COUNTIF($A$5:$A$1000,A300)&gt;1,"Duplicate ID",IF(C300="","Missing title",IF(D300="","Missing type",IF(E300="","Missing availability",IF(H300="","Missing offer",IF(L300="","Missing course URL",IF(ISERROR(SEARCH("https://www.keele.ac.uk/",L300)),"Non-Keele URL",IF(AND(D300="Foundation year",ISERROR(SEARCH("#foundationyear",L300))),"FY URL missing #foundationyear",IF(M300="","Missing display status",IF(N300="","Missing review date",IF(O300="","Missing owner",IF(P300="","Missing change note","OK")))))))))))))</x:f>
        <x:v>OK</x:v>
      </x:c>
    </x:row>
    <x:row r="301">
      <x:c r="A301" s="33" t="str">
        <x:v>2026-B212-UG</x:v>
      </x:c>
      <x:c r="B301" s="37" t="n">
        <x:v>2026</x:v>
      </x:c>
      <x:c r="C301" s="35" t="str">
        <x:v>Pharmacology with Integrated Master's</x:v>
      </x:c>
      <x:c r="D301" s="33" t="str">
        <x:v>Undergraduate</x:v>
      </x:c>
      <x:c r="E301" s="33" t="str">
        <x:v>Vacancies</x:v>
      </x:c>
      <x:c r="F301" s="33" t="str">
        <x:v>B212</x:v>
      </x:c>
      <x:c r="G301" s="33" t="str">
        <x:v>MSci</x:v>
      </x:c>
      <x:c r="H301" s="35" t="str">
        <x:v>64 UCAS tariff points</x:v>
      </x:c>
      <x:c r="I301" s="35" t="str">
        <x:v>Yes</x:v>
      </x:c>
      <x:c r="J301" s="35" t="str">
        <x:v>This course has additional subject-specific requirements. View the full course details or contact Admissions before applying.</x:v>
      </x:c>
      <x:c r="K301" s="35" t="str">
        <x:v>https://www.keele.ac.uk/clearing/entry-requirements/</x:v>
      </x:c>
      <x:c r="L301" s="35" t="str">
        <x:v>https://www.keele.ac.uk/study/undergraduate-2026/undergraduatecourses/pharmacologywithintegratedmasters/</x:v>
      </x:c>
      <x:c r="M301" s="33" t="str">
        <x:v>Yes</x:v>
      </x:c>
      <x:c r="N301" s="38" t="n">
        <x:v>46195</x:v>
      </x:c>
      <x:c r="O301" s="35" t="str">
        <x:v>Clearing content team</x:v>
      </x:c>
      <x:c r="P301" s="35" t="str">
        <x:v>Initial import from Clearing vacancies and ER page for 2026.docx</x:v>
      </x:c>
      <x:c r="Q301" s="36" t="str">
        <x:f>IF(A301="","Missing ID",IF(COUNTIF($A$5:$A$1000,A301)&gt;1,"Duplicate ID",IF(C301="","Missing title",IF(D301="","Missing type",IF(E301="","Missing availability",IF(H301="","Missing offer",IF(L301="","Missing course URL",IF(ISERROR(SEARCH("https://www.keele.ac.uk/",L301)),"Non-Keele URL",IF(AND(D301="Foundation year",ISERROR(SEARCH("#foundationyear",L301))),"FY URL missing #foundationyear",IF(M301="","Missing display status",IF(N301="","Missing review date",IF(O301="","Missing owner",IF(P301="","Missing change note","OK")))))))))))))</x:f>
        <x:v>OK</x:v>
      </x:c>
    </x:row>
    <x:row r="302">
      <x:c r="A302" s="33" t="str">
        <x:v>2026-pharmacologywithintegratedmasters-FY</x:v>
      </x:c>
      <x:c r="B302" s="37" t="n">
        <x:v>2026</x:v>
      </x:c>
      <x:c r="C302" s="35" t="str">
        <x:v>Pharmacology with Integrated Master's with Foundation Year</x:v>
      </x:c>
      <x:c r="D302" s="33" t="str">
        <x:v>Foundation year</x:v>
      </x:c>
      <x:c r="E302" s="33" t="str">
        <x:v>Vacancies</x:v>
      </x:c>
      <x:c r="F302" s="33" t="str"/>
      <x:c r="G302" s="33" t="str"/>
      <x:c r="H302" s="35" t="str">
        <x:v>Course-specific</x:v>
      </x:c>
      <x:c r="I302" s="35" t="str">
        <x:v>No</x:v>
      </x:c>
      <x:c r="J302" s="35" t="str">
        <x:v>Foundation Year requirements vary by course. View the full course details or call 01782 491120 to discuss your qualifications.</x:v>
      </x:c>
      <x:c r="K302" s="35" t="str">
        <x:v>https://www.keele.ac.uk/clearing/entry-requirements/</x:v>
      </x:c>
      <x:c r="L302" s="35" t="str">
        <x:v>https://www.keele.ac.uk/study/undergraduate-2026/undergraduatecourses/pharmacologywithintegratedmasters/#foundationyear</x:v>
      </x:c>
      <x:c r="M302" s="33" t="str">
        <x:v>Yes</x:v>
      </x:c>
      <x:c r="N302" s="38" t="n">
        <x:v>46195</x:v>
      </x:c>
      <x:c r="O302" s="35" t="str">
        <x:v>Clearing content team</x:v>
      </x:c>
      <x:c r="P302" s="35" t="str">
        <x:v>Initial import from Clearing vacancies and ER page for 2026.docx</x:v>
      </x:c>
      <x:c r="Q302" s="36" t="str">
        <x:f>IF(A302="","Missing ID",IF(COUNTIF($A$5:$A$1000,A302)&gt;1,"Duplicate ID",IF(C302="","Missing title",IF(D302="","Missing type",IF(E302="","Missing availability",IF(H302="","Missing offer",IF(L302="","Missing course URL",IF(ISERROR(SEARCH("https://www.keele.ac.uk/",L302)),"Non-Keele URL",IF(AND(D302="Foundation year",ISERROR(SEARCH("#foundationyear",L302))),"FY URL missing #foundationyear",IF(M302="","Missing display status",IF(N302="","Missing review date",IF(O302="","Missing owner",IF(P302="","Missing change note","OK")))))))))))))</x:f>
        <x:v>OK</x:v>
      </x:c>
    </x:row>
    <x:row r="303">
      <x:c r="A303" s="33" t="str">
        <x:v>2026-B230-UG</x:v>
      </x:c>
      <x:c r="B303" s="37" t="n">
        <x:v>2026</x:v>
      </x:c>
      <x:c r="C303" s="35" t="str">
        <x:v>Pharmacy</x:v>
      </x:c>
      <x:c r="D303" s="33" t="str">
        <x:v>Undergraduate</x:v>
      </x:c>
      <x:c r="E303" s="33" t="str">
        <x:v>Full</x:v>
      </x:c>
      <x:c r="F303" s="33" t="str">
        <x:v>B230</x:v>
      </x:c>
      <x:c r="G303" s="33" t="str">
        <x:v>MPharm</x:v>
      </x:c>
      <x:c r="H303" s="35" t="str">
        <x:v>Course-specific</x:v>
      </x:c>
      <x:c r="I303" s="35" t="str">
        <x:v>No</x:v>
      </x:c>
      <x:c r="J303" s="35" t="str">
        <x:v>Most undergraduate courses require GCSE English Language at grade 4/C or equivalent. Some courses also require GCSE Mathematics at grade 4/C or equivalent.</x:v>
      </x:c>
      <x:c r="K303" s="35" t="str">
        <x:v>https://www.keele.ac.uk/clearing/entry-requirements/</x:v>
      </x:c>
      <x:c r="L303" s="35" t="str">
        <x:v>https://www.keele.ac.uk/study/undergraduate-2026/undergraduatecourses/pharmacy/</x:v>
      </x:c>
      <x:c r="M303" s="33" t="str">
        <x:v>Yes</x:v>
      </x:c>
      <x:c r="N303" s="38" t="n">
        <x:v>46195</x:v>
      </x:c>
      <x:c r="O303" s="35" t="str">
        <x:v>Clearing content team</x:v>
      </x:c>
      <x:c r="P303" s="35" t="str">
        <x:v>Initial import from Clearing vacancies and ER page for 2026.docx</x:v>
      </x:c>
      <x:c r="Q303" s="36" t="str">
        <x:f>IF(A303="","Missing ID",IF(COUNTIF($A$5:$A$1000,A303)&gt;1,"Duplicate ID",IF(C303="","Missing title",IF(D303="","Missing type",IF(E303="","Missing availability",IF(H303="","Missing offer",IF(L303="","Missing course URL",IF(ISERROR(SEARCH("https://www.keele.ac.uk/",L303)),"Non-Keele URL",IF(AND(D303="Foundation year",ISERROR(SEARCH("#foundationyear",L303))),"FY URL missing #foundationyear",IF(M303="","Missing display status",IF(N303="","Missing review date",IF(O303="","Missing owner",IF(P303="","Missing change note","OK")))))))))))))</x:f>
        <x:v>OK</x:v>
      </x:c>
    </x:row>
    <x:row r="304">
      <x:c r="A304" s="33" t="str">
        <x:v>2026-pharmacy-FY</x:v>
      </x:c>
      <x:c r="B304" s="37" t="n">
        <x:v>2026</x:v>
      </x:c>
      <x:c r="C304" s="35" t="str">
        <x:v>Pharmacy with Foundation Year</x:v>
      </x:c>
      <x:c r="D304" s="33" t="str">
        <x:v>Foundation year</x:v>
      </x:c>
      <x:c r="E304" s="33" t="str">
        <x:v>Full</x:v>
      </x:c>
      <x:c r="F304" s="33" t="str"/>
      <x:c r="G304" s="33" t="str"/>
      <x:c r="H304" s="35" t="str">
        <x:v>Course-specific</x:v>
      </x:c>
      <x:c r="I304" s="35" t="str">
        <x:v>No</x:v>
      </x:c>
      <x:c r="J304" s="35" t="str">
        <x:v>Foundation Year requirements vary by course. View the full course details or call 01782 491120 to discuss your qualifications.</x:v>
      </x:c>
      <x:c r="K304" s="35" t="str">
        <x:v>https://www.keele.ac.uk/clearing/entry-requirements/</x:v>
      </x:c>
      <x:c r="L304" s="35" t="str">
        <x:v>https://www.keele.ac.uk/study/undergraduate-2026/undergraduatecourses/pharmacy/#foundationyear</x:v>
      </x:c>
      <x:c r="M304" s="33" t="str">
        <x:v>Yes</x:v>
      </x:c>
      <x:c r="N304" s="38" t="n">
        <x:v>46195</x:v>
      </x:c>
      <x:c r="O304" s="35" t="str">
        <x:v>Clearing content team</x:v>
      </x:c>
      <x:c r="P304" s="35" t="str">
        <x:v>Initial import from Clearing vacancies and ER page for 2026.docx</x:v>
      </x:c>
      <x:c r="Q304" s="36" t="str">
        <x:f>IF(A304="","Missing ID",IF(COUNTIF($A$5:$A$1000,A304)&gt;1,"Duplicate ID",IF(C304="","Missing title",IF(D304="","Missing type",IF(E304="","Missing availability",IF(H304="","Missing offer",IF(L304="","Missing course URL",IF(ISERROR(SEARCH("https://www.keele.ac.uk/",L304)),"Non-Keele URL",IF(AND(D304="Foundation year",ISERROR(SEARCH("#foundationyear",L304))),"FY URL missing #foundationyear",IF(M304="","Missing display status",IF(N304="","Missing review date",IF(O304="","Missing owner",IF(P304="","Missing change note","OK")))))))))))))</x:f>
        <x:v>OK</x:v>
      </x:c>
    </x:row>
    <x:row r="305">
      <x:c r="A305" s="33" t="str">
        <x:v>2026-V501-UG</x:v>
      </x:c>
      <x:c r="B305" s="37" t="n">
        <x:v>2026</x:v>
      </x:c>
      <x:c r="C305" s="35" t="str">
        <x:v>Philosophy</x:v>
      </x:c>
      <x:c r="D305" s="33" t="str">
        <x:v>Undergraduate</x:v>
      </x:c>
      <x:c r="E305" s="33" t="str">
        <x:v>Vacancies</x:v>
      </x:c>
      <x:c r="F305" s="33" t="str">
        <x:v>V501</x:v>
      </x:c>
      <x:c r="G305" s="33" t="str">
        <x:v>BA (Hons)</x:v>
      </x:c>
      <x:c r="H305" s="35" t="str">
        <x:v>64 UCAS tariff points</x:v>
      </x:c>
      <x:c r="I305" s="35" t="str">
        <x:v>No</x:v>
      </x:c>
      <x:c r="J305" s="35" t="str">
        <x:v>Most undergraduate courses require GCSE English Language at grade 4/C or equivalent. Some courses also require GCSE Mathematics at grade 4/C or equivalent.</x:v>
      </x:c>
      <x:c r="K305" s="35" t="str">
        <x:v>https://www.keele.ac.uk/clearing/entry-requirements/</x:v>
      </x:c>
      <x:c r="L305" s="35" t="str">
        <x:v>https://www.keele.ac.uk/study/undergraduate-2026/undergraduatecourses/philosophy/</x:v>
      </x:c>
      <x:c r="M305" s="33" t="str">
        <x:v>Yes</x:v>
      </x:c>
      <x:c r="N305" s="38" t="n">
        <x:v>46195</x:v>
      </x:c>
      <x:c r="O305" s="35" t="str">
        <x:v>Clearing content team</x:v>
      </x:c>
      <x:c r="P305" s="35" t="str">
        <x:v>Initial import from Clearing vacancies and ER page for 2026.docx</x:v>
      </x:c>
      <x:c r="Q305" s="36" t="str">
        <x:f>IF(A305="","Missing ID",IF(COUNTIF($A$5:$A$1000,A305)&gt;1,"Duplicate ID",IF(C305="","Missing title",IF(D305="","Missing type",IF(E305="","Missing availability",IF(H305="","Missing offer",IF(L305="","Missing course URL",IF(ISERROR(SEARCH("https://www.keele.ac.uk/",L305)),"Non-Keele URL",IF(AND(D305="Foundation year",ISERROR(SEARCH("#foundationyear",L305))),"FY URL missing #foundationyear",IF(M305="","Missing display status",IF(N305="","Missing review date",IF(O305="","Missing owner",IF(P305="","Missing change note","OK")))))))))))))</x:f>
        <x:v>OK</x:v>
      </x:c>
    </x:row>
    <x:row r="306">
      <x:c r="A306" s="33" t="str">
        <x:v>2026-V5X3-UG</x:v>
      </x:c>
      <x:c r="B306" s="37" t="n">
        <x:v>2026</x:v>
      </x:c>
      <x:c r="C306" s="35" t="str">
        <x:v>Philosophy and Education</x:v>
      </x:c>
      <x:c r="D306" s="33" t="str">
        <x:v>Undergraduate</x:v>
      </x:c>
      <x:c r="E306" s="33" t="str">
        <x:v>Vacancies</x:v>
      </x:c>
      <x:c r="F306" s="33" t="str">
        <x:v>V5X3</x:v>
      </x:c>
      <x:c r="G306" s="33" t="str">
        <x:v>BA (Hons)</x:v>
      </x:c>
      <x:c r="H306" s="35" t="str">
        <x:v>64 UCAS tariff points</x:v>
      </x:c>
      <x:c r="I306" s="35" t="str">
        <x:v>No</x:v>
      </x:c>
      <x:c r="J306" s="35" t="str">
        <x:v>Most undergraduate courses require GCSE English Language at grade 4/C or equivalent. Some courses also require GCSE Mathematics at grade 4/C or equivalent.</x:v>
      </x:c>
      <x:c r="K306" s="35" t="str">
        <x:v>https://www.keele.ac.uk/clearing/entry-requirements/</x:v>
      </x:c>
      <x:c r="L306" s="35" t="str">
        <x:v>https://www.keele.ac.uk/study/undergraduate-2026/undergraduatecourses/philosophyandeducation/</x:v>
      </x:c>
      <x:c r="M306" s="33" t="str">
        <x:v>Yes</x:v>
      </x:c>
      <x:c r="N306" s="38" t="n">
        <x:v>46195</x:v>
      </x:c>
      <x:c r="O306" s="35" t="str">
        <x:v>Clearing content team</x:v>
      </x:c>
      <x:c r="P306" s="35" t="str">
        <x:v>Initial import from Clearing vacancies and ER page for 2026.docx</x:v>
      </x:c>
      <x:c r="Q306" s="36" t="str">
        <x:f>IF(A306="","Missing ID",IF(COUNTIF($A$5:$A$1000,A306)&gt;1,"Duplicate ID",IF(C306="","Missing title",IF(D306="","Missing type",IF(E306="","Missing availability",IF(H306="","Missing offer",IF(L306="","Missing course URL",IF(ISERROR(SEARCH("https://www.keele.ac.uk/",L306)),"Non-Keele URL",IF(AND(D306="Foundation year",ISERROR(SEARCH("#foundationyear",L306))),"FY URL missing #foundationyear",IF(M306="","Missing display status",IF(N306="","Missing review date",IF(O306="","Missing owner",IF(P306="","Missing change note","OK")))))))))))))</x:f>
        <x:v>OK</x:v>
      </x:c>
    </x:row>
    <x:row r="307">
      <x:c r="A307" s="33" t="str">
        <x:v>2026-philosophyandeducation-FY</x:v>
      </x:c>
      <x:c r="B307" s="37" t="n">
        <x:v>2026</x:v>
      </x:c>
      <x:c r="C307" s="35" t="str">
        <x:v>Philosophy and Education with Foundation Year</x:v>
      </x:c>
      <x:c r="D307" s="33" t="str">
        <x:v>Foundation year</x:v>
      </x:c>
      <x:c r="E307" s="33" t="str">
        <x:v>Vacancies</x:v>
      </x:c>
      <x:c r="F307" s="33" t="str"/>
      <x:c r="G307" s="33" t="str"/>
      <x:c r="H307" s="35" t="str">
        <x:v>Course-specific</x:v>
      </x:c>
      <x:c r="I307" s="35" t="str">
        <x:v>No</x:v>
      </x:c>
      <x:c r="J307" s="35" t="str">
        <x:v>Foundation Year requirements vary by course. View the full course details or call 01782 491120 to discuss your qualifications.</x:v>
      </x:c>
      <x:c r="K307" s="35" t="str">
        <x:v>https://www.keele.ac.uk/clearing/entry-requirements/</x:v>
      </x:c>
      <x:c r="L307" s="35" t="str">
        <x:v>https://www.keele.ac.uk/study/undergraduate-2026/undergraduatecourses/philosophyandeducation/#foundationyear</x:v>
      </x:c>
      <x:c r="M307" s="33" t="str">
        <x:v>Yes</x:v>
      </x:c>
      <x:c r="N307" s="38" t="n">
        <x:v>46195</x:v>
      </x:c>
      <x:c r="O307" s="35" t="str">
        <x:v>Clearing content team</x:v>
      </x:c>
      <x:c r="P307" s="35" t="str">
        <x:v>Initial import from Clearing vacancies and ER page for 2026.docx</x:v>
      </x:c>
      <x:c r="Q307" s="36" t="str">
        <x:f>IF(A307="","Missing ID",IF(COUNTIF($A$5:$A$1000,A307)&gt;1,"Duplicate ID",IF(C307="","Missing title",IF(D307="","Missing type",IF(E307="","Missing availability",IF(H307="","Missing offer",IF(L307="","Missing course URL",IF(ISERROR(SEARCH("https://www.keele.ac.uk/",L307)),"Non-Keele URL",IF(AND(D307="Foundation year",ISERROR(SEARCH("#foundationyear",L307))),"FY URL missing #foundationyear",IF(M307="","Missing display status",IF(N307="","Missing review date",IF(O307="","Missing owner",IF(P307="","Missing change note","OK")))))))))))))</x:f>
        <x:v>OK</x:v>
      </x:c>
    </x:row>
    <x:row r="308">
      <x:c r="A308" s="33" t="str">
        <x:v>2026-L2V5-UG</x:v>
      </x:c>
      <x:c r="B308" s="37" t="n">
        <x:v>2026</x:v>
      </x:c>
      <x:c r="C308" s="35" t="str">
        <x:v>Philosophy and Politics</x:v>
      </x:c>
      <x:c r="D308" s="33" t="str">
        <x:v>Undergraduate</x:v>
      </x:c>
      <x:c r="E308" s="33" t="str">
        <x:v>Vacancies</x:v>
      </x:c>
      <x:c r="F308" s="33" t="str">
        <x:v>L2V5</x:v>
      </x:c>
      <x:c r="G308" s="33" t="str">
        <x:v>BA (Hons)</x:v>
      </x:c>
      <x:c r="H308" s="35" t="str">
        <x:v>64 UCAS tariff points</x:v>
      </x:c>
      <x:c r="I308" s="35" t="str">
        <x:v>No</x:v>
      </x:c>
      <x:c r="J308" s="35" t="str">
        <x:v>Most undergraduate courses require GCSE English Language at grade 4/C or equivalent. Some courses also require GCSE Mathematics at grade 4/C or equivalent.</x:v>
      </x:c>
      <x:c r="K308" s="35" t="str">
        <x:v>https://www.keele.ac.uk/clearing/entry-requirements/</x:v>
      </x:c>
      <x:c r="L308" s="35" t="str">
        <x:v>https://www.keele.ac.uk/study/undergraduate-2026/undergraduatecourses/philosophyandpolitics/</x:v>
      </x:c>
      <x:c r="M308" s="33" t="str">
        <x:v>Yes</x:v>
      </x:c>
      <x:c r="N308" s="38" t="n">
        <x:v>46195</x:v>
      </x:c>
      <x:c r="O308" s="35" t="str">
        <x:v>Clearing content team</x:v>
      </x:c>
      <x:c r="P308" s="35" t="str">
        <x:v>Initial import from Clearing vacancies and ER page for 2026.docx</x:v>
      </x:c>
      <x:c r="Q308" s="36" t="str">
        <x:f>IF(A308="","Missing ID",IF(COUNTIF($A$5:$A$1000,A308)&gt;1,"Duplicate ID",IF(C308="","Missing title",IF(D308="","Missing type",IF(E308="","Missing availability",IF(H308="","Missing offer",IF(L308="","Missing course URL",IF(ISERROR(SEARCH("https://www.keele.ac.uk/",L308)),"Non-Keele URL",IF(AND(D308="Foundation year",ISERROR(SEARCH("#foundationyear",L308))),"FY URL missing #foundationyear",IF(M308="","Missing display status",IF(N308="","Missing review date",IF(O308="","Missing owner",IF(P308="","Missing change note","OK")))))))))))))</x:f>
        <x:v>OK</x:v>
      </x:c>
    </x:row>
    <x:row r="309">
      <x:c r="A309" s="33" t="str">
        <x:v>2026-philosophyandpolitics-FY</x:v>
      </x:c>
      <x:c r="B309" s="37" t="n">
        <x:v>2026</x:v>
      </x:c>
      <x:c r="C309" s="35" t="str">
        <x:v>Philosophy and Politics with Foundation Year</x:v>
      </x:c>
      <x:c r="D309" s="33" t="str">
        <x:v>Foundation year</x:v>
      </x:c>
      <x:c r="E309" s="33" t="str">
        <x:v>Vacancies</x:v>
      </x:c>
      <x:c r="F309" s="33" t="str"/>
      <x:c r="G309" s="33" t="str"/>
      <x:c r="H309" s="35" t="str">
        <x:v>Course-specific</x:v>
      </x:c>
      <x:c r="I309" s="35" t="str">
        <x:v>No</x:v>
      </x:c>
      <x:c r="J309" s="35" t="str">
        <x:v>Foundation Year requirements vary by course. View the full course details or call 01782 491120 to discuss your qualifications.</x:v>
      </x:c>
      <x:c r="K309" s="35" t="str">
        <x:v>https://www.keele.ac.uk/clearing/entry-requirements/</x:v>
      </x:c>
      <x:c r="L309" s="35" t="str">
        <x:v>https://www.keele.ac.uk/study/undergraduate-2026/undergraduatecourses/philosophyandpolitics/#foundationyear</x:v>
      </x:c>
      <x:c r="M309" s="33" t="str">
        <x:v>Yes</x:v>
      </x:c>
      <x:c r="N309" s="38" t="n">
        <x:v>46195</x:v>
      </x:c>
      <x:c r="O309" s="35" t="str">
        <x:v>Clearing content team</x:v>
      </x:c>
      <x:c r="P309" s="35" t="str">
        <x:v>Initial import from Clearing vacancies and ER page for 2026.docx</x:v>
      </x:c>
      <x:c r="Q309" s="36" t="str">
        <x:f>IF(A309="","Missing ID",IF(COUNTIF($A$5:$A$1000,A309)&gt;1,"Duplicate ID",IF(C309="","Missing title",IF(D309="","Missing type",IF(E309="","Missing availability",IF(H309="","Missing offer",IF(L309="","Missing course URL",IF(ISERROR(SEARCH("https://www.keele.ac.uk/",L309)),"Non-Keele URL",IF(AND(D309="Foundation year",ISERROR(SEARCH("#foundationyear",L309))),"FY URL missing #foundationyear",IF(M309="","Missing display status",IF(N309="","Missing review date",IF(O309="","Missing owner",IF(P309="","Missing change note","OK")))))))))))))</x:f>
        <x:v>OK</x:v>
      </x:c>
    </x:row>
    <x:row r="310">
      <x:c r="A310" s="33" t="str">
        <x:v>2026-philosophy-FY</x:v>
      </x:c>
      <x:c r="B310" s="37" t="n">
        <x:v>2026</x:v>
      </x:c>
      <x:c r="C310" s="35" t="str">
        <x:v>Philosophy with Foundation Year</x:v>
      </x:c>
      <x:c r="D310" s="33" t="str">
        <x:v>Foundation year</x:v>
      </x:c>
      <x:c r="E310" s="33" t="str">
        <x:v>Vacancies</x:v>
      </x:c>
      <x:c r="F310" s="33" t="str"/>
      <x:c r="G310" s="33" t="str"/>
      <x:c r="H310" s="35" t="str">
        <x:v>Course-specific</x:v>
      </x:c>
      <x:c r="I310" s="35" t="str">
        <x:v>No</x:v>
      </x:c>
      <x:c r="J310" s="35" t="str">
        <x:v>Foundation Year requirements vary by course. View the full course details or call 01782 491120 to discuss your qualifications.</x:v>
      </x:c>
      <x:c r="K310" s="35" t="str">
        <x:v>https://www.keele.ac.uk/clearing/entry-requirements/</x:v>
      </x:c>
      <x:c r="L310" s="35" t="str">
        <x:v>https://www.keele.ac.uk/study/undergraduate-2026/undergraduatecourses/philosophy/#foundationyear</x:v>
      </x:c>
      <x:c r="M310" s="33" t="str">
        <x:v>Yes</x:v>
      </x:c>
      <x:c r="N310" s="38" t="n">
        <x:v>46195</x:v>
      </x:c>
      <x:c r="O310" s="35" t="str">
        <x:v>Clearing content team</x:v>
      </x:c>
      <x:c r="P310" s="35" t="str">
        <x:v>Initial import from Clearing vacancies and ER page for 2026.docx</x:v>
      </x:c>
      <x:c r="Q310" s="36" t="str">
        <x:f>IF(A310="","Missing ID",IF(COUNTIF($A$5:$A$1000,A310)&gt;1,"Duplicate ID",IF(C310="","Missing title",IF(D310="","Missing type",IF(E310="","Missing availability",IF(H310="","Missing offer",IF(L310="","Missing course URL",IF(ISERROR(SEARCH("https://www.keele.ac.uk/",L310)),"Non-Keele URL",IF(AND(D310="Foundation year",ISERROR(SEARCH("#foundationyear",L310))),"FY URL missing #foundationyear",IF(M310="","Missing display status",IF(N310="","Missing review date",IF(O310="","Missing owner",IF(P310="","Missing change note","OK")))))))))))))</x:f>
        <x:v>OK</x:v>
      </x:c>
    </x:row>
    <x:row r="311">
      <x:c r="A311" s="33" t="str">
        <x:v>2026-LV50-UG</x:v>
      </x:c>
      <x:c r="B311" s="37" t="n">
        <x:v>2026</x:v>
      </x:c>
      <x:c r="C311" s="35" t="str">
        <x:v>Philosophy, Politics and Economics</x:v>
      </x:c>
      <x:c r="D311" s="33" t="str">
        <x:v>Undergraduate</x:v>
      </x:c>
      <x:c r="E311" s="33" t="str">
        <x:v>Vacancies</x:v>
      </x:c>
      <x:c r="F311" s="33" t="str">
        <x:v>LV50</x:v>
      </x:c>
      <x:c r="G311" s="33" t="str">
        <x:v>BA (Hons)</x:v>
      </x:c>
      <x:c r="H311" s="35" t="str">
        <x:v>64 UCAS tariff points</x:v>
      </x:c>
      <x:c r="I311" s="35" t="str">
        <x:v>No</x:v>
      </x:c>
      <x:c r="J311" s="35" t="str">
        <x:v>Most undergraduate courses require GCSE English Language at grade 4/C or equivalent. Some courses also require GCSE Mathematics at grade 4/C or equivalent.</x:v>
      </x:c>
      <x:c r="K311" s="35" t="str">
        <x:v>https://www.keele.ac.uk/clearing/entry-requirements/</x:v>
      </x:c>
      <x:c r="L311" s="35" t="str">
        <x:v>https://www.keele.ac.uk/study/undergraduate-2026/undergraduatecourses/philosophypoliticsandeconomics/</x:v>
      </x:c>
      <x:c r="M311" s="33" t="str">
        <x:v>Yes</x:v>
      </x:c>
      <x:c r="N311" s="38" t="n">
        <x:v>46195</x:v>
      </x:c>
      <x:c r="O311" s="35" t="str">
        <x:v>Clearing content team</x:v>
      </x:c>
      <x:c r="P311" s="35" t="str">
        <x:v>Initial import from Clearing vacancies and ER page for 2026.docx</x:v>
      </x:c>
      <x:c r="Q311" s="36" t="str">
        <x:f>IF(A311="","Missing ID",IF(COUNTIF($A$5:$A$1000,A311)&gt;1,"Duplicate ID",IF(C311="","Missing title",IF(D311="","Missing type",IF(E311="","Missing availability",IF(H311="","Missing offer",IF(L311="","Missing course URL",IF(ISERROR(SEARCH("https://www.keele.ac.uk/",L311)),"Non-Keele URL",IF(AND(D311="Foundation year",ISERROR(SEARCH("#foundationyear",L311))),"FY URL missing #foundationyear",IF(M311="","Missing display status",IF(N311="","Missing review date",IF(O311="","Missing owner",IF(P311="","Missing change note","OK")))))))))))))</x:f>
        <x:v>OK</x:v>
      </x:c>
    </x:row>
    <x:row r="312">
      <x:c r="A312" s="33" t="str">
        <x:v>2026-philosophypoliticsandeconomics-FY</x:v>
      </x:c>
      <x:c r="B312" s="37" t="n">
        <x:v>2026</x:v>
      </x:c>
      <x:c r="C312" s="35" t="str">
        <x:v>Philosophy, Politics and Economics with Foundation Year</x:v>
      </x:c>
      <x:c r="D312" s="33" t="str">
        <x:v>Foundation year</x:v>
      </x:c>
      <x:c r="E312" s="33" t="str">
        <x:v>Vacancies</x:v>
      </x:c>
      <x:c r="F312" s="33" t="str"/>
      <x:c r="G312" s="33" t="str"/>
      <x:c r="H312" s="35" t="str">
        <x:v>Course-specific</x:v>
      </x:c>
      <x:c r="I312" s="35" t="str">
        <x:v>No</x:v>
      </x:c>
      <x:c r="J312" s="35" t="str">
        <x:v>Foundation Year requirements vary by course. View the full course details or call 01782 491120 to discuss your qualifications.</x:v>
      </x:c>
      <x:c r="K312" s="35" t="str">
        <x:v>https://www.keele.ac.uk/clearing/entry-requirements/</x:v>
      </x:c>
      <x:c r="L312" s="35" t="str">
        <x:v>https://www.keele.ac.uk/study/undergraduate-2026/undergraduatecourses/philosophypoliticsandeconomics/#foundationyear</x:v>
      </x:c>
      <x:c r="M312" s="33" t="str">
        <x:v>Yes</x:v>
      </x:c>
      <x:c r="N312" s="38" t="n">
        <x:v>46195</x:v>
      </x:c>
      <x:c r="O312" s="35" t="str">
        <x:v>Clearing content team</x:v>
      </x:c>
      <x:c r="P312" s="35" t="str">
        <x:v>Initial import from Clearing vacancies and ER page for 2026.docx</x:v>
      </x:c>
      <x:c r="Q312" s="36" t="str">
        <x:f>IF(A312="","Missing ID",IF(COUNTIF($A$5:$A$1000,A312)&gt;1,"Duplicate ID",IF(C312="","Missing title",IF(D312="","Missing type",IF(E312="","Missing availability",IF(H312="","Missing offer",IF(L312="","Missing course URL",IF(ISERROR(SEARCH("https://www.keele.ac.uk/",L312)),"Non-Keele URL",IF(AND(D312="Foundation year",ISERROR(SEARCH("#foundationyear",L312))),"FY URL missing #foundationyear",IF(M312="","Missing display status",IF(N312="","Missing review date",IF(O312="","Missing owner",IF(P312="","Missing change note","OK")))))))))))))</x:f>
        <x:v>OK</x:v>
      </x:c>
    </x:row>
    <x:row r="313">
      <x:c r="A313" s="33" t="str">
        <x:v>2026-F300-UG</x:v>
      </x:c>
      <x:c r="B313" s="37" t="n">
        <x:v>2026</x:v>
      </x:c>
      <x:c r="C313" s="35" t="str">
        <x:v>Physics</x:v>
      </x:c>
      <x:c r="D313" s="33" t="str">
        <x:v>Undergraduate</x:v>
      </x:c>
      <x:c r="E313" s="33" t="str">
        <x:v>Vacancies</x:v>
      </x:c>
      <x:c r="F313" s="33" t="str">
        <x:v>F300</x:v>
      </x:c>
      <x:c r="G313" s="33" t="str">
        <x:v>BSc (Hons)</x:v>
      </x:c>
      <x:c r="H313" s="35" t="str">
        <x:v>64 UCAS tariff points</x:v>
      </x:c>
      <x:c r="I313" s="35" t="str">
        <x:v>Yes</x:v>
      </x:c>
      <x:c r="J313" s="35" t="str">
        <x:v>This course has additional subject-specific requirements. View the full course details or contact Admissions before applying.</x:v>
      </x:c>
      <x:c r="K313" s="35" t="str">
        <x:v>https://www.keele.ac.uk/clearing/entry-requirements/</x:v>
      </x:c>
      <x:c r="L313" s="35" t="str">
        <x:v>https://www.keele.ac.uk/study/undergraduate-2026/undergraduatecourses/physics/</x:v>
      </x:c>
      <x:c r="M313" s="33" t="str">
        <x:v>Yes</x:v>
      </x:c>
      <x:c r="N313" s="38" t="n">
        <x:v>46195</x:v>
      </x:c>
      <x:c r="O313" s="35" t="str">
        <x:v>Clearing content team</x:v>
      </x:c>
      <x:c r="P313" s="35" t="str">
        <x:v>Initial import from Clearing vacancies and ER page for 2026.docx</x:v>
      </x:c>
      <x:c r="Q313" s="36" t="str">
        <x:f>IF(A313="","Missing ID",IF(COUNTIF($A$5:$A$1000,A313)&gt;1,"Duplicate ID",IF(C313="","Missing title",IF(D313="","Missing type",IF(E313="","Missing availability",IF(H313="","Missing offer",IF(L313="","Missing course URL",IF(ISERROR(SEARCH("https://www.keele.ac.uk/",L313)),"Non-Keele URL",IF(AND(D313="Foundation year",ISERROR(SEARCH("#foundationyear",L313))),"FY URL missing #foundationyear",IF(M313="","Missing display status",IF(N313="","Missing review date",IF(O313="","Missing owner",IF(P313="","Missing change note","OK")))))))))))))</x:f>
        <x:v>OK</x:v>
      </x:c>
    </x:row>
    <x:row r="314">
      <x:c r="A314" s="33" t="str">
        <x:v>2026-F3G4-UG</x:v>
      </x:c>
      <x:c r="B314" s="37" t="n">
        <x:v>2026</x:v>
      </x:c>
      <x:c r="C314" s="35" t="str">
        <x:v>Physics with Artificial Intelligence</x:v>
      </x:c>
      <x:c r="D314" s="33" t="str">
        <x:v>Undergraduate</x:v>
      </x:c>
      <x:c r="E314" s="33" t="str">
        <x:v>Vacancies</x:v>
      </x:c>
      <x:c r="F314" s="33" t="str">
        <x:v>F3G4</x:v>
      </x:c>
      <x:c r="G314" s="33" t="str">
        <x:v>BSc (Hons)</x:v>
      </x:c>
      <x:c r="H314" s="35" t="str">
        <x:v>64 UCAS tariff points</x:v>
      </x:c>
      <x:c r="I314" s="35" t="str">
        <x:v>Yes</x:v>
      </x:c>
      <x:c r="J314" s="35" t="str">
        <x:v>This course has additional subject-specific requirements. View the full course details or contact Admissions before applying.</x:v>
      </x:c>
      <x:c r="K314" s="35" t="str">
        <x:v>https://www.keele.ac.uk/clearing/entry-requirements/</x:v>
      </x:c>
      <x:c r="L314" s="35" t="str">
        <x:v>https://www.keele.ac.uk/study/undergraduate-2026/undergraduatecourses/physicswithartificialintelligence/</x:v>
      </x:c>
      <x:c r="M314" s="33" t="str">
        <x:v>Yes</x:v>
      </x:c>
      <x:c r="N314" s="38" t="n">
        <x:v>46195</x:v>
      </x:c>
      <x:c r="O314" s="35" t="str">
        <x:v>Clearing content team</x:v>
      </x:c>
      <x:c r="P314" s="35" t="str">
        <x:v>Initial import from Clearing vacancies and ER page for 2026.docx</x:v>
      </x:c>
      <x:c r="Q314" s="36" t="str">
        <x:f>IF(A314="","Missing ID",IF(COUNTIF($A$5:$A$1000,A314)&gt;1,"Duplicate ID",IF(C314="","Missing title",IF(D314="","Missing type",IF(E314="","Missing availability",IF(H314="","Missing offer",IF(L314="","Missing course URL",IF(ISERROR(SEARCH("https://www.keele.ac.uk/",L314)),"Non-Keele URL",IF(AND(D314="Foundation year",ISERROR(SEARCH("#foundationyear",L314))),"FY URL missing #foundationyear",IF(M314="","Missing display status",IF(N314="","Missing review date",IF(O314="","Missing owner",IF(P314="","Missing change note","OK")))))))))))))</x:f>
        <x:v>OK</x:v>
      </x:c>
    </x:row>
    <x:row r="315">
      <x:c r="A315" s="33" t="str">
        <x:v>2026-physicswithartificialintelligence-FY</x:v>
      </x:c>
      <x:c r="B315" s="37" t="n">
        <x:v>2026</x:v>
      </x:c>
      <x:c r="C315" s="35" t="str">
        <x:v>Physics with Artificial Intelligence with Foundation Year</x:v>
      </x:c>
      <x:c r="D315" s="33" t="str">
        <x:v>Foundation year</x:v>
      </x:c>
      <x:c r="E315" s="33" t="str">
        <x:v>Vacancies</x:v>
      </x:c>
      <x:c r="F315" s="33" t="str"/>
      <x:c r="G315" s="33" t="str"/>
      <x:c r="H315" s="35" t="str">
        <x:v>Course-specific</x:v>
      </x:c>
      <x:c r="I315" s="35" t="str">
        <x:v>No</x:v>
      </x:c>
      <x:c r="J315" s="35" t="str">
        <x:v>Foundation Year requirements vary by course. View the full course details or call 01782 491120 to discuss your qualifications.</x:v>
      </x:c>
      <x:c r="K315" s="35" t="str">
        <x:v>https://www.keele.ac.uk/clearing/entry-requirements/</x:v>
      </x:c>
      <x:c r="L315" s="35" t="str">
        <x:v>https://www.keele.ac.uk/study/undergraduate-2026/undergraduatecourses/physicswithartificialintelligence/#foundationyear</x:v>
      </x:c>
      <x:c r="M315" s="33" t="str">
        <x:v>Yes</x:v>
      </x:c>
      <x:c r="N315" s="38" t="n">
        <x:v>46195</x:v>
      </x:c>
      <x:c r="O315" s="35" t="str">
        <x:v>Clearing content team</x:v>
      </x:c>
      <x:c r="P315" s="35" t="str">
        <x:v>Initial import from Clearing vacancies and ER page for 2026.docx</x:v>
      </x:c>
      <x:c r="Q315" s="36" t="str">
        <x:f>IF(A315="","Missing ID",IF(COUNTIF($A$5:$A$1000,A315)&gt;1,"Duplicate ID",IF(C315="","Missing title",IF(D315="","Missing type",IF(E315="","Missing availability",IF(H315="","Missing offer",IF(L315="","Missing course URL",IF(ISERROR(SEARCH("https://www.keele.ac.uk/",L315)),"Non-Keele URL",IF(AND(D315="Foundation year",ISERROR(SEARCH("#foundationyear",L315))),"FY URL missing #foundationyear",IF(M315="","Missing display status",IF(N315="","Missing review date",IF(O315="","Missing owner",IF(P315="","Missing change note","OK")))))))))))))</x:f>
        <x:v>OK</x:v>
      </x:c>
    </x:row>
    <x:row r="316">
      <x:c r="A316" s="33" t="str">
        <x:v>2026-F301-UG</x:v>
      </x:c>
      <x:c r="B316" s="37" t="n">
        <x:v>2026</x:v>
      </x:c>
      <x:c r="C316" s="35" t="str">
        <x:v>Physics with Astrophysics</x:v>
      </x:c>
      <x:c r="D316" s="33" t="str">
        <x:v>Undergraduate</x:v>
      </x:c>
      <x:c r="E316" s="33" t="str">
        <x:v>Vacancies</x:v>
      </x:c>
      <x:c r="F316" s="33" t="str">
        <x:v>F301</x:v>
      </x:c>
      <x:c r="G316" s="33" t="str">
        <x:v>BSc (Hons)</x:v>
      </x:c>
      <x:c r="H316" s="35" t="str">
        <x:v>64 UCAS tariff points</x:v>
      </x:c>
      <x:c r="I316" s="35" t="str">
        <x:v>Yes</x:v>
      </x:c>
      <x:c r="J316" s="35" t="str">
        <x:v>This course has additional subject-specific requirements. View the full course details or contact Admissions before applying.</x:v>
      </x:c>
      <x:c r="K316" s="35" t="str">
        <x:v>https://www.keele.ac.uk/clearing/entry-requirements/</x:v>
      </x:c>
      <x:c r="L316" s="35" t="str">
        <x:v>https://www.keele.ac.uk/study/undergraduate-2026/undergraduatecourses/physicswithastrophysics/</x:v>
      </x:c>
      <x:c r="M316" s="33" t="str">
        <x:v>Yes</x:v>
      </x:c>
      <x:c r="N316" s="38" t="n">
        <x:v>46195</x:v>
      </x:c>
      <x:c r="O316" s="35" t="str">
        <x:v>Clearing content team</x:v>
      </x:c>
      <x:c r="P316" s="35" t="str">
        <x:v>Initial import from Clearing vacancies and ER page for 2026.docx</x:v>
      </x:c>
      <x:c r="Q316" s="36" t="str">
        <x:f>IF(A316="","Missing ID",IF(COUNTIF($A$5:$A$1000,A316)&gt;1,"Duplicate ID",IF(C316="","Missing title",IF(D316="","Missing type",IF(E316="","Missing availability",IF(H316="","Missing offer",IF(L316="","Missing course URL",IF(ISERROR(SEARCH("https://www.keele.ac.uk/",L316)),"Non-Keele URL",IF(AND(D316="Foundation year",ISERROR(SEARCH("#foundationyear",L316))),"FY URL missing #foundationyear",IF(M316="","Missing display status",IF(N316="","Missing review date",IF(O316="","Missing owner",IF(P316="","Missing change note","OK")))))))))))))</x:f>
        <x:v>OK</x:v>
      </x:c>
    </x:row>
    <x:row r="317">
      <x:c r="A317" s="33" t="str">
        <x:v>2026-physicswithastrophysics-FY</x:v>
      </x:c>
      <x:c r="B317" s="37" t="n">
        <x:v>2026</x:v>
      </x:c>
      <x:c r="C317" s="35" t="str">
        <x:v>Physics with Astrophysics with Foundation Year</x:v>
      </x:c>
      <x:c r="D317" s="33" t="str">
        <x:v>Foundation year</x:v>
      </x:c>
      <x:c r="E317" s="33" t="str">
        <x:v>Vacancies</x:v>
      </x:c>
      <x:c r="F317" s="33" t="str"/>
      <x:c r="G317" s="33" t="str"/>
      <x:c r="H317" s="35" t="str">
        <x:v>Course-specific</x:v>
      </x:c>
      <x:c r="I317" s="35" t="str">
        <x:v>No</x:v>
      </x:c>
      <x:c r="J317" s="35" t="str">
        <x:v>Foundation Year requirements vary by course. View the full course details or call 01782 491120 to discuss your qualifications.</x:v>
      </x:c>
      <x:c r="K317" s="35" t="str">
        <x:v>https://www.keele.ac.uk/clearing/entry-requirements/</x:v>
      </x:c>
      <x:c r="L317" s="35" t="str">
        <x:v>https://www.keele.ac.uk/study/undergraduate-2026/undergraduatecourses/physicswithastrophysics/#foundationyear</x:v>
      </x:c>
      <x:c r="M317" s="33" t="str">
        <x:v>Yes</x:v>
      </x:c>
      <x:c r="N317" s="38" t="n">
        <x:v>46195</x:v>
      </x:c>
      <x:c r="O317" s="35" t="str">
        <x:v>Clearing content team</x:v>
      </x:c>
      <x:c r="P317" s="35" t="str">
        <x:v>Initial import from Clearing vacancies and ER page for 2026.docx</x:v>
      </x:c>
      <x:c r="Q317" s="36" t="str">
        <x:f>IF(A317="","Missing ID",IF(COUNTIF($A$5:$A$1000,A317)&gt;1,"Duplicate ID",IF(C317="","Missing title",IF(D317="","Missing type",IF(E317="","Missing availability",IF(H317="","Missing offer",IF(L317="","Missing course URL",IF(ISERROR(SEARCH("https://www.keele.ac.uk/",L317)),"Non-Keele URL",IF(AND(D317="Foundation year",ISERROR(SEARCH("#foundationyear",L317))),"FY URL missing #foundationyear",IF(M317="","Missing display status",IF(N317="","Missing review date",IF(O317="","Missing owner",IF(P317="","Missing change note","OK")))))))))))))</x:f>
        <x:v>OK</x:v>
      </x:c>
    </x:row>
    <x:row r="318">
      <x:c r="A318" s="33" t="str">
        <x:v>2026-physics-FY</x:v>
      </x:c>
      <x:c r="B318" s="37" t="n">
        <x:v>2026</x:v>
      </x:c>
      <x:c r="C318" s="35" t="str">
        <x:v>Physics with Foundation Year</x:v>
      </x:c>
      <x:c r="D318" s="33" t="str">
        <x:v>Foundation year</x:v>
      </x:c>
      <x:c r="E318" s="33" t="str">
        <x:v>Vacancies</x:v>
      </x:c>
      <x:c r="F318" s="33" t="str"/>
      <x:c r="G318" s="33" t="str"/>
      <x:c r="H318" s="35" t="str">
        <x:v>Course-specific</x:v>
      </x:c>
      <x:c r="I318" s="35" t="str">
        <x:v>No</x:v>
      </x:c>
      <x:c r="J318" s="35" t="str">
        <x:v>Foundation Year requirements vary by course. View the full course details or call 01782 491120 to discuss your qualifications.</x:v>
      </x:c>
      <x:c r="K318" s="35" t="str">
        <x:v>https://www.keele.ac.uk/clearing/entry-requirements/</x:v>
      </x:c>
      <x:c r="L318" s="35" t="str">
        <x:v>https://www.keele.ac.uk/study/undergraduate-2026/undergraduatecourses/physics/#foundationyear</x:v>
      </x:c>
      <x:c r="M318" s="33" t="str">
        <x:v>Yes</x:v>
      </x:c>
      <x:c r="N318" s="38" t="n">
        <x:v>46195</x:v>
      </x:c>
      <x:c r="O318" s="35" t="str">
        <x:v>Clearing content team</x:v>
      </x:c>
      <x:c r="P318" s="35" t="str">
        <x:v>Initial import from Clearing vacancies and ER page for 2026.docx</x:v>
      </x:c>
      <x:c r="Q318" s="36" t="str">
        <x:f>IF(A318="","Missing ID",IF(COUNTIF($A$5:$A$1000,A318)&gt;1,"Duplicate ID",IF(C318="","Missing title",IF(D318="","Missing type",IF(E318="","Missing availability",IF(H318="","Missing offer",IF(L318="","Missing course URL",IF(ISERROR(SEARCH("https://www.keele.ac.uk/",L318)),"Non-Keele URL",IF(AND(D318="Foundation year",ISERROR(SEARCH("#foundationyear",L318))),"FY URL missing #foundationyear",IF(M318="","Missing display status",IF(N318="","Missing review date",IF(O318="","Missing owner",IF(P318="","Missing change note","OK")))))))))))))</x:f>
        <x:v>OK</x:v>
      </x:c>
    </x:row>
    <x:row r="319">
      <x:c r="A319" s="33" t="str">
        <x:v>2026-F3G1-UG</x:v>
      </x:c>
      <x:c r="B319" s="37" t="n">
        <x:v>2026</x:v>
      </x:c>
      <x:c r="C319" s="35" t="str">
        <x:v>Physics with Mathematics</x:v>
      </x:c>
      <x:c r="D319" s="33" t="str">
        <x:v>Undergraduate</x:v>
      </x:c>
      <x:c r="E319" s="33" t="str">
        <x:v>Vacancies</x:v>
      </x:c>
      <x:c r="F319" s="33" t="str">
        <x:v>F3G1</x:v>
      </x:c>
      <x:c r="G319" s="33" t="str">
        <x:v>BSc (Hons)</x:v>
      </x:c>
      <x:c r="H319" s="35" t="str">
        <x:v>64 UCAS tariff points</x:v>
      </x:c>
      <x:c r="I319" s="35" t="str">
        <x:v>Yes</x:v>
      </x:c>
      <x:c r="J319" s="35" t="str">
        <x:v>This course has additional subject-specific requirements. View the full course details or contact Admissions before applying.</x:v>
      </x:c>
      <x:c r="K319" s="35" t="str">
        <x:v>https://www.keele.ac.uk/clearing/entry-requirements/</x:v>
      </x:c>
      <x:c r="L319" s="35" t="str">
        <x:v>https://www.keele.ac.uk/study/undergraduate-2026/undergraduatecourses/physicswithmathematics/</x:v>
      </x:c>
      <x:c r="M319" s="33" t="str">
        <x:v>Yes</x:v>
      </x:c>
      <x:c r="N319" s="38" t="n">
        <x:v>46195</x:v>
      </x:c>
      <x:c r="O319" s="35" t="str">
        <x:v>Clearing content team</x:v>
      </x:c>
      <x:c r="P319" s="35" t="str">
        <x:v>Initial import from Clearing vacancies and ER page for 2026.docx</x:v>
      </x:c>
      <x:c r="Q319" s="36" t="str">
        <x:f>IF(A319="","Missing ID",IF(COUNTIF($A$5:$A$1000,A319)&gt;1,"Duplicate ID",IF(C319="","Missing title",IF(D319="","Missing type",IF(E319="","Missing availability",IF(H319="","Missing offer",IF(L319="","Missing course URL",IF(ISERROR(SEARCH("https://www.keele.ac.uk/",L319)),"Non-Keele URL",IF(AND(D319="Foundation year",ISERROR(SEARCH("#foundationyear",L319))),"FY URL missing #foundationyear",IF(M319="","Missing display status",IF(N319="","Missing review date",IF(O319="","Missing owner",IF(P319="","Missing change note","OK")))))))))))))</x:f>
        <x:v>OK</x:v>
      </x:c>
    </x:row>
    <x:row r="320">
      <x:c r="A320" s="33" t="str">
        <x:v>2026-physicswithmathematics-FY</x:v>
      </x:c>
      <x:c r="B320" s="37" t="n">
        <x:v>2026</x:v>
      </x:c>
      <x:c r="C320" s="35" t="str">
        <x:v>Physics with Mathematics with Foundation Year</x:v>
      </x:c>
      <x:c r="D320" s="33" t="str">
        <x:v>Foundation year</x:v>
      </x:c>
      <x:c r="E320" s="33" t="str">
        <x:v>Vacancies</x:v>
      </x:c>
      <x:c r="F320" s="33" t="str"/>
      <x:c r="G320" s="33" t="str"/>
      <x:c r="H320" s="35" t="str">
        <x:v>Course-specific</x:v>
      </x:c>
      <x:c r="I320" s="35" t="str">
        <x:v>No</x:v>
      </x:c>
      <x:c r="J320" s="35" t="str">
        <x:v>Foundation Year requirements vary by course. View the full course details or call 01782 491120 to discuss your qualifications.</x:v>
      </x:c>
      <x:c r="K320" s="35" t="str">
        <x:v>https://www.keele.ac.uk/clearing/entry-requirements/</x:v>
      </x:c>
      <x:c r="L320" s="35" t="str">
        <x:v>https://www.keele.ac.uk/study/undergraduate-2026/undergraduatecourses/physicswithmathematics/#foundationyear</x:v>
      </x:c>
      <x:c r="M320" s="33" t="str">
        <x:v>Yes</x:v>
      </x:c>
      <x:c r="N320" s="38" t="n">
        <x:v>46195</x:v>
      </x:c>
      <x:c r="O320" s="35" t="str">
        <x:v>Clearing content team</x:v>
      </x:c>
      <x:c r="P320" s="35" t="str">
        <x:v>Initial import from Clearing vacancies and ER page for 2026.docx</x:v>
      </x:c>
      <x:c r="Q320" s="36" t="str">
        <x:f>IF(A320="","Missing ID",IF(COUNTIF($A$5:$A$1000,A320)&gt;1,"Duplicate ID",IF(C320="","Missing title",IF(D320="","Missing type",IF(E320="","Missing availability",IF(H320="","Missing offer",IF(L320="","Missing course URL",IF(ISERROR(SEARCH("https://www.keele.ac.uk/",L320)),"Non-Keele URL",IF(AND(D320="Foundation year",ISERROR(SEARCH("#foundationyear",L320))),"FY URL missing #foundationyear",IF(M320="","Missing display status",IF(N320="","Missing review date",IF(O320="","Missing owner",IF(P320="","Missing change note","OK")))))))))))))</x:f>
        <x:v>OK</x:v>
      </x:c>
    </x:row>
    <x:row r="321">
      <x:c r="A321" s="33" t="str">
        <x:v>2026-FH32-UG</x:v>
      </x:c>
      <x:c r="B321" s="37" t="n">
        <x:v>2026</x:v>
      </x:c>
      <x:c r="C321" s="35" t="str">
        <x:v>Physics with Renewable Energy</x:v>
      </x:c>
      <x:c r="D321" s="33" t="str">
        <x:v>Undergraduate</x:v>
      </x:c>
      <x:c r="E321" s="33" t="str">
        <x:v>Vacancies</x:v>
      </x:c>
      <x:c r="F321" s="33" t="str">
        <x:v>FH32</x:v>
      </x:c>
      <x:c r="G321" s="33" t="str">
        <x:v>BSc (Hons)</x:v>
      </x:c>
      <x:c r="H321" s="35" t="str">
        <x:v>64 UCAS tariff points</x:v>
      </x:c>
      <x:c r="I321" s="35" t="str">
        <x:v>Yes</x:v>
      </x:c>
      <x:c r="J321" s="35" t="str">
        <x:v>This course has additional subject-specific requirements. View the full course details or contact Admissions before applying.</x:v>
      </x:c>
      <x:c r="K321" s="35" t="str">
        <x:v>https://www.keele.ac.uk/clearing/entry-requirements/</x:v>
      </x:c>
      <x:c r="L321" s="35" t="str">
        <x:v>https://www.keele.ac.uk/study/undergraduate-2026/undergraduatecourses/physicswithrenewableenergy/</x:v>
      </x:c>
      <x:c r="M321" s="33" t="str">
        <x:v>Yes</x:v>
      </x:c>
      <x:c r="N321" s="38" t="n">
        <x:v>46195</x:v>
      </x:c>
      <x:c r="O321" s="35" t="str">
        <x:v>Clearing content team</x:v>
      </x:c>
      <x:c r="P321" s="35" t="str">
        <x:v>Initial import from Clearing vacancies and ER page for 2026.docx</x:v>
      </x:c>
      <x:c r="Q321" s="36" t="str">
        <x:f>IF(A321="","Missing ID",IF(COUNTIF($A$5:$A$1000,A321)&gt;1,"Duplicate ID",IF(C321="","Missing title",IF(D321="","Missing type",IF(E321="","Missing availability",IF(H321="","Missing offer",IF(L321="","Missing course URL",IF(ISERROR(SEARCH("https://www.keele.ac.uk/",L321)),"Non-Keele URL",IF(AND(D321="Foundation year",ISERROR(SEARCH("#foundationyear",L321))),"FY URL missing #foundationyear",IF(M321="","Missing display status",IF(N321="","Missing review date",IF(O321="","Missing owner",IF(P321="","Missing change note","OK")))))))))))))</x:f>
        <x:v>OK</x:v>
      </x:c>
    </x:row>
    <x:row r="322">
      <x:c r="A322" s="33" t="str">
        <x:v>2026-physicswithrenewableenergy-FY</x:v>
      </x:c>
      <x:c r="B322" s="37" t="n">
        <x:v>2026</x:v>
      </x:c>
      <x:c r="C322" s="35" t="str">
        <x:v>Physics with Renewable Energy with Foundation Year</x:v>
      </x:c>
      <x:c r="D322" s="33" t="str">
        <x:v>Foundation year</x:v>
      </x:c>
      <x:c r="E322" s="33" t="str">
        <x:v>Vacancies</x:v>
      </x:c>
      <x:c r="F322" s="33" t="str"/>
      <x:c r="G322" s="33" t="str"/>
      <x:c r="H322" s="35" t="str">
        <x:v>Course-specific</x:v>
      </x:c>
      <x:c r="I322" s="35" t="str">
        <x:v>No</x:v>
      </x:c>
      <x:c r="J322" s="35" t="str">
        <x:v>Foundation Year requirements vary by course. View the full course details or call 01782 491120 to discuss your qualifications.</x:v>
      </x:c>
      <x:c r="K322" s="35" t="str">
        <x:v>https://www.keele.ac.uk/clearing/entry-requirements/</x:v>
      </x:c>
      <x:c r="L322" s="35" t="str">
        <x:v>https://www.keele.ac.uk/study/undergraduate-2026/undergraduatecourses/physicswithrenewableenergy/#foundationyear</x:v>
      </x:c>
      <x:c r="M322" s="33" t="str">
        <x:v>Yes</x:v>
      </x:c>
      <x:c r="N322" s="38" t="n">
        <x:v>46195</x:v>
      </x:c>
      <x:c r="O322" s="35" t="str">
        <x:v>Clearing content team</x:v>
      </x:c>
      <x:c r="P322" s="35" t="str">
        <x:v>Initial import from Clearing vacancies and ER page for 2026.docx</x:v>
      </x:c>
      <x:c r="Q322" s="36" t="str">
        <x:f>IF(A322="","Missing ID",IF(COUNTIF($A$5:$A$1000,A322)&gt;1,"Duplicate ID",IF(C322="","Missing title",IF(D322="","Missing type",IF(E322="","Missing availability",IF(H322="","Missing offer",IF(L322="","Missing course URL",IF(ISERROR(SEARCH("https://www.keele.ac.uk/",L322)),"Non-Keele URL",IF(AND(D322="Foundation year",ISERROR(SEARCH("#foundationyear",L322))),"FY URL missing #foundationyear",IF(M322="","Missing display status",IF(N322="","Missing review date",IF(O322="","Missing owner",IF(P322="","Missing change note","OK")))))))))))))</x:f>
        <x:v>OK</x:v>
      </x:c>
    </x:row>
    <x:row r="323">
      <x:c r="A323" s="33" t="str">
        <x:v>2026-B160-UG</x:v>
      </x:c>
      <x:c r="B323" s="37" t="n">
        <x:v>2026</x:v>
      </x:c>
      <x:c r="C323" s="35" t="str">
        <x:v>Physiotherapy</x:v>
      </x:c>
      <x:c r="D323" s="33" t="str">
        <x:v>Undergraduate</x:v>
      </x:c>
      <x:c r="E323" s="33" t="str">
        <x:v>Full</x:v>
      </x:c>
      <x:c r="F323" s="33" t="str">
        <x:v>B160</x:v>
      </x:c>
      <x:c r="G323" s="33" t="str">
        <x:v>MSci</x:v>
      </x:c>
      <x:c r="H323" s="35" t="str">
        <x:v>Course-specific</x:v>
      </x:c>
      <x:c r="I323" s="35" t="str">
        <x:v>No</x:v>
      </x:c>
      <x:c r="J323" s="35" t="str">
        <x:v>Most undergraduate courses require GCSE English Language at grade 4/C or equivalent. Some courses also require GCSE Mathematics at grade 4/C or equivalent.</x:v>
      </x:c>
      <x:c r="K323" s="35" t="str">
        <x:v>https://www.keele.ac.uk/clearing/entry-requirements/</x:v>
      </x:c>
      <x:c r="L323" s="35" t="str">
        <x:v>https://www.keele.ac.uk/study/undergraduate-2026/undergraduatecourses/physiotherapy/</x:v>
      </x:c>
      <x:c r="M323" s="33" t="str">
        <x:v>Yes</x:v>
      </x:c>
      <x:c r="N323" s="38" t="n">
        <x:v>46195</x:v>
      </x:c>
      <x:c r="O323" s="35" t="str">
        <x:v>Clearing content team</x:v>
      </x:c>
      <x:c r="P323" s="35" t="str">
        <x:v>Initial import from Clearing vacancies and ER page for 2026.docx</x:v>
      </x:c>
      <x:c r="Q323" s="36" t="str">
        <x:f>IF(A323="","Missing ID",IF(COUNTIF($A$5:$A$1000,A323)&gt;1,"Duplicate ID",IF(C323="","Missing title",IF(D323="","Missing type",IF(E323="","Missing availability",IF(H323="","Missing offer",IF(L323="","Missing course URL",IF(ISERROR(SEARCH("https://www.keele.ac.uk/",L323)),"Non-Keele URL",IF(AND(D323="Foundation year",ISERROR(SEARCH("#foundationyear",L323))),"FY URL missing #foundationyear",IF(M323="","Missing display status",IF(N323="","Missing review date",IF(O323="","Missing owner",IF(P323="","Missing change note","OK")))))))))))))</x:f>
        <x:v>OK</x:v>
      </x:c>
    </x:row>
    <x:row r="324">
      <x:c r="A324" s="33" t="str">
        <x:v>2026-physiotherapy-FY</x:v>
      </x:c>
      <x:c r="B324" s="37" t="n">
        <x:v>2026</x:v>
      </x:c>
      <x:c r="C324" s="35" t="str">
        <x:v>Physiotherapy with Foundation Year</x:v>
      </x:c>
      <x:c r="D324" s="33" t="str">
        <x:v>Foundation year</x:v>
      </x:c>
      <x:c r="E324" s="33" t="str">
        <x:v>Full</x:v>
      </x:c>
      <x:c r="F324" s="33" t="str"/>
      <x:c r="G324" s="33" t="str"/>
      <x:c r="H324" s="35" t="str">
        <x:v>96 UCAS tariff points</x:v>
      </x:c>
      <x:c r="I324" s="35" t="str">
        <x:v>No</x:v>
      </x:c>
      <x:c r="J324" s="35" t="str">
        <x:v>Foundation Year requirements vary by course. View the full course details or call 01782 491120 to discuss your qualifications.</x:v>
      </x:c>
      <x:c r="K324" s="35" t="str">
        <x:v>https://www.keele.ac.uk/clearing/entry-requirements/</x:v>
      </x:c>
      <x:c r="L324" s="35" t="str">
        <x:v>https://www.keele.ac.uk/study/undergraduate-2026/undergraduatecourses/physiotherapy/#foundationyear</x:v>
      </x:c>
      <x:c r="M324" s="33" t="str">
        <x:v>Yes</x:v>
      </x:c>
      <x:c r="N324" s="38" t="n">
        <x:v>46195</x:v>
      </x:c>
      <x:c r="O324" s="35" t="str">
        <x:v>Clearing content team</x:v>
      </x:c>
      <x:c r="P324" s="35" t="str">
        <x:v>Initial import from Clearing vacancies and ER page for 2026.docx</x:v>
      </x:c>
      <x:c r="Q324" s="36" t="str">
        <x:f>IF(A324="","Missing ID",IF(COUNTIF($A$5:$A$1000,A324)&gt;1,"Duplicate ID",IF(C324="","Missing title",IF(D324="","Missing type",IF(E324="","Missing availability",IF(H324="","Missing offer",IF(L324="","Missing course URL",IF(ISERROR(SEARCH("https://www.keele.ac.uk/",L324)),"Non-Keele URL",IF(AND(D324="Foundation year",ISERROR(SEARCH("#foundationyear",L324))),"FY URL missing #foundationyear",IF(M324="","Missing display status",IF(N324="","Missing review date",IF(O324="","Missing owner",IF(P324="","Missing change note","OK")))))))))))))</x:f>
        <x:v>OK</x:v>
      </x:c>
    </x:row>
    <x:row r="325">
      <x:c r="A325" s="33" t="str">
        <x:v>2026-L200-UG</x:v>
      </x:c>
      <x:c r="B325" s="37" t="n">
        <x:v>2026</x:v>
      </x:c>
      <x:c r="C325" s="35" t="str">
        <x:v>Politics</x:v>
      </x:c>
      <x:c r="D325" s="33" t="str">
        <x:v>Undergraduate</x:v>
      </x:c>
      <x:c r="E325" s="33" t="str">
        <x:v>Vacancies</x:v>
      </x:c>
      <x:c r="F325" s="33" t="str">
        <x:v>L200</x:v>
      </x:c>
      <x:c r="G325" s="33" t="str">
        <x:v>BA (Hons)</x:v>
      </x:c>
      <x:c r="H325" s="35" t="str">
        <x:v>64 UCAS tariff points</x:v>
      </x:c>
      <x:c r="I325" s="35" t="str">
        <x:v>No</x:v>
      </x:c>
      <x:c r="J325" s="35" t="str">
        <x:v>Most undergraduate courses require GCSE English Language at grade 4/C or equivalent. Some courses also require GCSE Mathematics at grade 4/C or equivalent.</x:v>
      </x:c>
      <x:c r="K325" s="35" t="str">
        <x:v>https://www.keele.ac.uk/clearing/entry-requirements/</x:v>
      </x:c>
      <x:c r="L325" s="35" t="str">
        <x:v>https://www.keele.ac.uk/study/undergraduate-2026/undergraduatecourses/politics/</x:v>
      </x:c>
      <x:c r="M325" s="33" t="str">
        <x:v>Yes</x:v>
      </x:c>
      <x:c r="N325" s="38" t="n">
        <x:v>46195</x:v>
      </x:c>
      <x:c r="O325" s="35" t="str">
        <x:v>Clearing content team</x:v>
      </x:c>
      <x:c r="P325" s="35" t="str">
        <x:v>Initial import from Clearing vacancies and ER page for 2026.docx</x:v>
      </x:c>
      <x:c r="Q325" s="36" t="str">
        <x:f>IF(A325="","Missing ID",IF(COUNTIF($A$5:$A$1000,A325)&gt;1,"Duplicate ID",IF(C325="","Missing title",IF(D325="","Missing type",IF(E325="","Missing availability",IF(H325="","Missing offer",IF(L325="","Missing course URL",IF(ISERROR(SEARCH("https://www.keele.ac.uk/",L325)),"Non-Keele URL",IF(AND(D325="Foundation year",ISERROR(SEARCH("#foundationyear",L325))),"FY URL missing #foundationyear",IF(M325="","Missing display status",IF(N325="","Missing review date",IF(O325="","Missing owner",IF(P325="","Missing change note","OK")))))))))))))</x:f>
        <x:v>OK</x:v>
      </x:c>
    </x:row>
    <x:row r="326">
      <x:c r="A326" s="33" t="str">
        <x:v>2026-L521-UG</x:v>
      </x:c>
      <x:c r="B326" s="37" t="n">
        <x:v>2026</x:v>
      </x:c>
      <x:c r="C326" s="35" t="str">
        <x:v>Politics and International Relations</x:v>
      </x:c>
      <x:c r="D326" s="33" t="str">
        <x:v>Undergraduate</x:v>
      </x:c>
      <x:c r="E326" s="33" t="str">
        <x:v>Vacancies</x:v>
      </x:c>
      <x:c r="F326" s="33" t="str">
        <x:v>L521</x:v>
      </x:c>
      <x:c r="G326" s="33" t="str">
        <x:v>BA (Hons)</x:v>
      </x:c>
      <x:c r="H326" s="35" t="str">
        <x:v>64 UCAS tariff points</x:v>
      </x:c>
      <x:c r="I326" s="35" t="str">
        <x:v>No</x:v>
      </x:c>
      <x:c r="J326" s="35" t="str">
        <x:v>Most undergraduate courses require GCSE English Language at grade 4/C or equivalent. Some courses also require GCSE Mathematics at grade 4/C or equivalent.</x:v>
      </x:c>
      <x:c r="K326" s="35" t="str">
        <x:v>https://www.keele.ac.uk/clearing/entry-requirements/</x:v>
      </x:c>
      <x:c r="L326" s="35" t="str">
        <x:v>https://www.keele.ac.uk/study/undergraduate-2026/undergraduatecourses/politicsandinternationalrelations/</x:v>
      </x:c>
      <x:c r="M326" s="33" t="str">
        <x:v>Yes</x:v>
      </x:c>
      <x:c r="N326" s="38" t="n">
        <x:v>46195</x:v>
      </x:c>
      <x:c r="O326" s="35" t="str">
        <x:v>Clearing content team</x:v>
      </x:c>
      <x:c r="P326" s="35" t="str">
        <x:v>Initial import from Clearing vacancies and ER page for 2026.docx</x:v>
      </x:c>
      <x:c r="Q326" s="36" t="str">
        <x:f>IF(A326="","Missing ID",IF(COUNTIF($A$5:$A$1000,A326)&gt;1,"Duplicate ID",IF(C326="","Missing title",IF(D326="","Missing type",IF(E326="","Missing availability",IF(H326="","Missing offer",IF(L326="","Missing course URL",IF(ISERROR(SEARCH("https://www.keele.ac.uk/",L326)),"Non-Keele URL",IF(AND(D326="Foundation year",ISERROR(SEARCH("#foundationyear",L326))),"FY URL missing #foundationyear",IF(M326="","Missing display status",IF(N326="","Missing review date",IF(O326="","Missing owner",IF(P326="","Missing change note","OK")))))))))))))</x:f>
        <x:v>OK</x:v>
      </x:c>
    </x:row>
    <x:row r="327">
      <x:c r="A327" s="33" t="str">
        <x:v>2026-politicsandinternationalrelations-FY</x:v>
      </x:c>
      <x:c r="B327" s="37" t="n">
        <x:v>2026</x:v>
      </x:c>
      <x:c r="C327" s="35" t="str">
        <x:v>Politics and International Relations with Foundation Year</x:v>
      </x:c>
      <x:c r="D327" s="33" t="str">
        <x:v>Foundation year</x:v>
      </x:c>
      <x:c r="E327" s="33" t="str">
        <x:v>Vacancies</x:v>
      </x:c>
      <x:c r="F327" s="33" t="str"/>
      <x:c r="G327" s="33" t="str"/>
      <x:c r="H327" s="35" t="str">
        <x:v>Course-specific</x:v>
      </x:c>
      <x:c r="I327" s="35" t="str">
        <x:v>No</x:v>
      </x:c>
      <x:c r="J327" s="35" t="str">
        <x:v>Foundation Year requirements vary by course. View the full course details or call 01782 491120 to discuss your qualifications.</x:v>
      </x:c>
      <x:c r="K327" s="35" t="str">
        <x:v>https://www.keele.ac.uk/clearing/entry-requirements/</x:v>
      </x:c>
      <x:c r="L327" s="35" t="str">
        <x:v>https://www.keele.ac.uk/study/undergraduate-2026/undergraduatecourses/politicsandinternationalrelations/#foundationyear</x:v>
      </x:c>
      <x:c r="M327" s="33" t="str">
        <x:v>Yes</x:v>
      </x:c>
      <x:c r="N327" s="38" t="n">
        <x:v>46195</x:v>
      </x:c>
      <x:c r="O327" s="35" t="str">
        <x:v>Clearing content team</x:v>
      </x:c>
      <x:c r="P327" s="35" t="str">
        <x:v>Initial import from Clearing vacancies and ER page for 2026.docx</x:v>
      </x:c>
      <x:c r="Q327" s="36" t="str">
        <x:f>IF(A327="","Missing ID",IF(COUNTIF($A$5:$A$1000,A327)&gt;1,"Duplicate ID",IF(C327="","Missing title",IF(D327="","Missing type",IF(E327="","Missing availability",IF(H327="","Missing offer",IF(L327="","Missing course URL",IF(ISERROR(SEARCH("https://www.keele.ac.uk/",L327)),"Non-Keele URL",IF(AND(D327="Foundation year",ISERROR(SEARCH("#foundationyear",L327))),"FY URL missing #foundationyear",IF(M327="","Missing display status",IF(N327="","Missing review date",IF(O327="","Missing owner",IF(P327="","Missing change note","OK")))))))))))))</x:f>
        <x:v>OK</x:v>
      </x:c>
    </x:row>
    <x:row r="328">
      <x:c r="A328" s="33" t="str">
        <x:v>2026-L000-UG</x:v>
      </x:c>
      <x:c r="B328" s="37" t="n">
        <x:v>2026</x:v>
      </x:c>
      <x:c r="C328" s="35" t="str">
        <x:v>Politics and Sociology</x:v>
      </x:c>
      <x:c r="D328" s="33" t="str">
        <x:v>Undergraduate</x:v>
      </x:c>
      <x:c r="E328" s="33" t="str">
        <x:v>Vacancies</x:v>
      </x:c>
      <x:c r="F328" s="33" t="str">
        <x:v>L000</x:v>
      </x:c>
      <x:c r="G328" s="33" t="str">
        <x:v>BSc (Hons)</x:v>
      </x:c>
      <x:c r="H328" s="35" t="str">
        <x:v>64 UCAS tariff points</x:v>
      </x:c>
      <x:c r="I328" s="35" t="str">
        <x:v>No</x:v>
      </x:c>
      <x:c r="J328" s="35" t="str">
        <x:v>Most undergraduate courses require GCSE English Language at grade 4/C or equivalent. Some courses also require GCSE Mathematics at grade 4/C or equivalent.</x:v>
      </x:c>
      <x:c r="K328" s="35" t="str">
        <x:v>https://www.keele.ac.uk/clearing/entry-requirements/</x:v>
      </x:c>
      <x:c r="L328" s="35" t="str">
        <x:v>https://www.keele.ac.uk/study/undergraduate-2026/undergraduatecourses/politicsandsociology/</x:v>
      </x:c>
      <x:c r="M328" s="33" t="str">
        <x:v>Yes</x:v>
      </x:c>
      <x:c r="N328" s="38" t="n">
        <x:v>46195</x:v>
      </x:c>
      <x:c r="O328" s="35" t="str">
        <x:v>Clearing content team</x:v>
      </x:c>
      <x:c r="P328" s="35" t="str">
        <x:v>Initial import from Clearing vacancies and ER page for 2026.docx</x:v>
      </x:c>
      <x:c r="Q328" s="36" t="str">
        <x:f>IF(A328="","Missing ID",IF(COUNTIF($A$5:$A$1000,A328)&gt;1,"Duplicate ID",IF(C328="","Missing title",IF(D328="","Missing type",IF(E328="","Missing availability",IF(H328="","Missing offer",IF(L328="","Missing course URL",IF(ISERROR(SEARCH("https://www.keele.ac.uk/",L328)),"Non-Keele URL",IF(AND(D328="Foundation year",ISERROR(SEARCH("#foundationyear",L328))),"FY URL missing #foundationyear",IF(M328="","Missing display status",IF(N328="","Missing review date",IF(O328="","Missing owner",IF(P328="","Missing change note","OK")))))))))))))</x:f>
        <x:v>OK</x:v>
      </x:c>
    </x:row>
    <x:row r="329">
      <x:c r="A329" s="33" t="str">
        <x:v>2026-politicsandsociology-FY</x:v>
      </x:c>
      <x:c r="B329" s="37" t="n">
        <x:v>2026</x:v>
      </x:c>
      <x:c r="C329" s="35" t="str">
        <x:v>Politics and Sociology with Foundation Year</x:v>
      </x:c>
      <x:c r="D329" s="33" t="str">
        <x:v>Foundation year</x:v>
      </x:c>
      <x:c r="E329" s="33" t="str">
        <x:v>Vacancies</x:v>
      </x:c>
      <x:c r="F329" s="33" t="str"/>
      <x:c r="G329" s="33" t="str"/>
      <x:c r="H329" s="35" t="str">
        <x:v>Course-specific</x:v>
      </x:c>
      <x:c r="I329" s="35" t="str">
        <x:v>No</x:v>
      </x:c>
      <x:c r="J329" s="35" t="str">
        <x:v>Foundation Year requirements vary by course. View the full course details or call 01782 491120 to discuss your qualifications.</x:v>
      </x:c>
      <x:c r="K329" s="35" t="str">
        <x:v>https://www.keele.ac.uk/clearing/entry-requirements/</x:v>
      </x:c>
      <x:c r="L329" s="35" t="str">
        <x:v>https://www.keele.ac.uk/study/undergraduate-2026/undergraduatecourses/politicsandsociology/#foundationyear</x:v>
      </x:c>
      <x:c r="M329" s="33" t="str">
        <x:v>Yes</x:v>
      </x:c>
      <x:c r="N329" s="38" t="n">
        <x:v>46195</x:v>
      </x:c>
      <x:c r="O329" s="35" t="str">
        <x:v>Clearing content team</x:v>
      </x:c>
      <x:c r="P329" s="35" t="str">
        <x:v>Initial import from Clearing vacancies and ER page for 2026.docx</x:v>
      </x:c>
      <x:c r="Q329" s="36" t="str">
        <x:f>IF(A329="","Missing ID",IF(COUNTIF($A$5:$A$1000,A329)&gt;1,"Duplicate ID",IF(C329="","Missing title",IF(D329="","Missing type",IF(E329="","Missing availability",IF(H329="","Missing offer",IF(L329="","Missing course URL",IF(ISERROR(SEARCH("https://www.keele.ac.uk/",L329)),"Non-Keele URL",IF(AND(D329="Foundation year",ISERROR(SEARCH("#foundationyear",L329))),"FY URL missing #foundationyear",IF(M329="","Missing display status",IF(N329="","Missing review date",IF(O329="","Missing owner",IF(P329="","Missing change note","OK")))))))))))))</x:f>
        <x:v>OK</x:v>
      </x:c>
    </x:row>
    <x:row r="330">
      <x:c r="A330" s="33" t="str">
        <x:v>2026-LL14-UG</x:v>
      </x:c>
      <x:c r="B330" s="37" t="n">
        <x:v>2026</x:v>
      </x:c>
      <x:c r="C330" s="35" t="str">
        <x:v>Politics with Economics</x:v>
      </x:c>
      <x:c r="D330" s="33" t="str">
        <x:v>Undergraduate</x:v>
      </x:c>
      <x:c r="E330" s="33" t="str">
        <x:v>Vacancies</x:v>
      </x:c>
      <x:c r="F330" s="33" t="str">
        <x:v>LL14</x:v>
      </x:c>
      <x:c r="G330" s="33" t="str">
        <x:v>BA (Hons)</x:v>
      </x:c>
      <x:c r="H330" s="35" t="str">
        <x:v>64 UCAS tariff points</x:v>
      </x:c>
      <x:c r="I330" s="35" t="str">
        <x:v>No</x:v>
      </x:c>
      <x:c r="J330" s="35" t="str">
        <x:v>Most undergraduate courses require GCSE English Language at grade 4/C or equivalent. Some courses also require GCSE Mathematics at grade 4/C or equivalent.</x:v>
      </x:c>
      <x:c r="K330" s="35" t="str">
        <x:v>https://www.keele.ac.uk/clearing/entry-requirements/</x:v>
      </x:c>
      <x:c r="L330" s="35" t="str">
        <x:v>https://www.keele.ac.uk/study/undergraduate-2026/undergraduatecourses/politicswitheconomics/</x:v>
      </x:c>
      <x:c r="M330" s="33" t="str">
        <x:v>Yes</x:v>
      </x:c>
      <x:c r="N330" s="38" t="n">
        <x:v>46195</x:v>
      </x:c>
      <x:c r="O330" s="35" t="str">
        <x:v>Clearing content team</x:v>
      </x:c>
      <x:c r="P330" s="35" t="str">
        <x:v>Initial import from Clearing vacancies and ER page for 2026.docx</x:v>
      </x:c>
      <x:c r="Q330" s="36" t="str">
        <x:f>IF(A330="","Missing ID",IF(COUNTIF($A$5:$A$1000,A330)&gt;1,"Duplicate ID",IF(C330="","Missing title",IF(D330="","Missing type",IF(E330="","Missing availability",IF(H330="","Missing offer",IF(L330="","Missing course URL",IF(ISERROR(SEARCH("https://www.keele.ac.uk/",L330)),"Non-Keele URL",IF(AND(D330="Foundation year",ISERROR(SEARCH("#foundationyear",L330))),"FY URL missing #foundationyear",IF(M330="","Missing display status",IF(N330="","Missing review date",IF(O330="","Missing owner",IF(P330="","Missing change note","OK")))))))))))))</x:f>
        <x:v>OK</x:v>
      </x:c>
    </x:row>
    <x:row r="331">
      <x:c r="A331" s="33" t="str">
        <x:v>2026-politicswitheconomics-FY</x:v>
      </x:c>
      <x:c r="B331" s="37" t="n">
        <x:v>2026</x:v>
      </x:c>
      <x:c r="C331" s="35" t="str">
        <x:v>Politics with Economics with Foundation Year</x:v>
      </x:c>
      <x:c r="D331" s="33" t="str">
        <x:v>Foundation year</x:v>
      </x:c>
      <x:c r="E331" s="33" t="str">
        <x:v>Vacancies</x:v>
      </x:c>
      <x:c r="F331" s="33" t="str"/>
      <x:c r="G331" s="33" t="str"/>
      <x:c r="H331" s="35" t="str">
        <x:v>Course-specific</x:v>
      </x:c>
      <x:c r="I331" s="35" t="str">
        <x:v>No</x:v>
      </x:c>
      <x:c r="J331" s="35" t="str">
        <x:v>Foundation Year requirements vary by course. View the full course details or call 01782 491120 to discuss your qualifications.</x:v>
      </x:c>
      <x:c r="K331" s="35" t="str">
        <x:v>https://www.keele.ac.uk/clearing/entry-requirements/</x:v>
      </x:c>
      <x:c r="L331" s="35" t="str">
        <x:v>https://www.keele.ac.uk/study/undergraduate-2026/undergraduatecourses/politicswitheconomics/#foundationyear</x:v>
      </x:c>
      <x:c r="M331" s="33" t="str">
        <x:v>Yes</x:v>
      </x:c>
      <x:c r="N331" s="38" t="n">
        <x:v>46195</x:v>
      </x:c>
      <x:c r="O331" s="35" t="str">
        <x:v>Clearing content team</x:v>
      </x:c>
      <x:c r="P331" s="35" t="str">
        <x:v>Initial import from Clearing vacancies and ER page for 2026.docx</x:v>
      </x:c>
      <x:c r="Q331" s="36" t="str">
        <x:f>IF(A331="","Missing ID",IF(COUNTIF($A$5:$A$1000,A331)&gt;1,"Duplicate ID",IF(C331="","Missing title",IF(D331="","Missing type",IF(E331="","Missing availability",IF(H331="","Missing offer",IF(L331="","Missing course URL",IF(ISERROR(SEARCH("https://www.keele.ac.uk/",L331)),"Non-Keele URL",IF(AND(D331="Foundation year",ISERROR(SEARCH("#foundationyear",L331))),"FY URL missing #foundationyear",IF(M331="","Missing display status",IF(N331="","Missing review date",IF(O331="","Missing owner",IF(P331="","Missing change note","OK")))))))))))))</x:f>
        <x:v>OK</x:v>
      </x:c>
    </x:row>
    <x:row r="332">
      <x:c r="A332" s="33" t="str">
        <x:v>2026-politics-FY</x:v>
      </x:c>
      <x:c r="B332" s="37" t="n">
        <x:v>2026</x:v>
      </x:c>
      <x:c r="C332" s="35" t="str">
        <x:v>Politics with Foundation Year</x:v>
      </x:c>
      <x:c r="D332" s="33" t="str">
        <x:v>Foundation year</x:v>
      </x:c>
      <x:c r="E332" s="33" t="str">
        <x:v>Vacancies</x:v>
      </x:c>
      <x:c r="F332" s="33" t="str"/>
      <x:c r="G332" s="33" t="str"/>
      <x:c r="H332" s="35" t="str">
        <x:v>Course-specific</x:v>
      </x:c>
      <x:c r="I332" s="35" t="str">
        <x:v>No</x:v>
      </x:c>
      <x:c r="J332" s="35" t="str">
        <x:v>Foundation Year requirements vary by course. View the full course details or call 01782 491120 to discuss your qualifications.</x:v>
      </x:c>
      <x:c r="K332" s="35" t="str">
        <x:v>https://www.keele.ac.uk/clearing/entry-requirements/</x:v>
      </x:c>
      <x:c r="L332" s="35" t="str">
        <x:v>https://www.keele.ac.uk/study/undergraduate-2026/undergraduatecourses/politics/#foundationyear</x:v>
      </x:c>
      <x:c r="M332" s="33" t="str">
        <x:v>Yes</x:v>
      </x:c>
      <x:c r="N332" s="38" t="n">
        <x:v>46195</x:v>
      </x:c>
      <x:c r="O332" s="35" t="str">
        <x:v>Clearing content team</x:v>
      </x:c>
      <x:c r="P332" s="35" t="str">
        <x:v>Initial import from Clearing vacancies and ER page for 2026.docx</x:v>
      </x:c>
      <x:c r="Q332" s="36" t="str">
        <x:f>IF(A332="","Missing ID",IF(COUNTIF($A$5:$A$1000,A332)&gt;1,"Duplicate ID",IF(C332="","Missing title",IF(D332="","Missing type",IF(E332="","Missing availability",IF(H332="","Missing offer",IF(L332="","Missing course URL",IF(ISERROR(SEARCH("https://www.keele.ac.uk/",L332)),"Non-Keele URL",IF(AND(D332="Foundation year",ISERROR(SEARCH("#foundationyear",L332))),"FY URL missing #foundationyear",IF(M332="","Missing display status",IF(N332="","Missing review date",IF(O332="","Missing owner",IF(P332="","Missing change note","OK")))))))))))))</x:f>
        <x:v>OK</x:v>
      </x:c>
    </x:row>
    <x:row r="333">
      <x:c r="A333" s="33" t="str">
        <x:v>2026-C800-UG</x:v>
      </x:c>
      <x:c r="B333" s="37" t="n">
        <x:v>2026</x:v>
      </x:c>
      <x:c r="C333" s="35" t="str">
        <x:v>Psychology</x:v>
      </x:c>
      <x:c r="D333" s="33" t="str">
        <x:v>Undergraduate</x:v>
      </x:c>
      <x:c r="E333" s="33" t="str">
        <x:v>Vacancies</x:v>
      </x:c>
      <x:c r="F333" s="33" t="str">
        <x:v>C800</x:v>
      </x:c>
      <x:c r="G333" s="33" t="str">
        <x:v>BSc (Hons)</x:v>
      </x:c>
      <x:c r="H333" s="35" t="str">
        <x:v>64 UCAS tariff points</x:v>
      </x:c>
      <x:c r="I333" s="35" t="str">
        <x:v>No</x:v>
      </x:c>
      <x:c r="J333" s="35" t="str">
        <x:v>Most undergraduate courses require GCSE English Language at grade 4/C or equivalent. Some courses also require GCSE Mathematics at grade 4/C or equivalent.</x:v>
      </x:c>
      <x:c r="K333" s="35" t="str">
        <x:v>https://www.keele.ac.uk/clearing/entry-requirements/</x:v>
      </x:c>
      <x:c r="L333" s="35" t="str">
        <x:v>https://www.keele.ac.uk/study/undergraduate-2026/undergraduatecourses/psychology/</x:v>
      </x:c>
      <x:c r="M333" s="33" t="str">
        <x:v>Yes</x:v>
      </x:c>
      <x:c r="N333" s="38" t="n">
        <x:v>46195</x:v>
      </x:c>
      <x:c r="O333" s="35" t="str">
        <x:v>Clearing content team</x:v>
      </x:c>
      <x:c r="P333" s="35" t="str">
        <x:v>Initial import from Clearing vacancies and ER page for 2026.docx</x:v>
      </x:c>
      <x:c r="Q333" s="36" t="str">
        <x:f>IF(A333="","Missing ID",IF(COUNTIF($A$5:$A$1000,A333)&gt;1,"Duplicate ID",IF(C333="","Missing title",IF(D333="","Missing type",IF(E333="","Missing availability",IF(H333="","Missing offer",IF(L333="","Missing course URL",IF(ISERROR(SEARCH("https://www.keele.ac.uk/",L333)),"Non-Keele URL",IF(AND(D333="Foundation year",ISERROR(SEARCH("#foundationyear",L333))),"FY URL missing #foundationyear",IF(M333="","Missing display status",IF(N333="","Missing review date",IF(O333="","Missing owner",IF(P333="","Missing change note","OK")))))))))))))</x:f>
        <x:v>OK</x:v>
      </x:c>
    </x:row>
    <x:row r="334">
      <x:c r="A334" s="33" t="str">
        <x:v>2026-CX85-UG</x:v>
      </x:c>
      <x:c r="B334" s="37" t="n">
        <x:v>2026</x:v>
      </x:c>
      <x:c r="C334" s="35" t="str">
        <x:v>Psychology in Education</x:v>
      </x:c>
      <x:c r="D334" s="33" t="str">
        <x:v>Undergraduate</x:v>
      </x:c>
      <x:c r="E334" s="33" t="str">
        <x:v>Vacancies</x:v>
      </x:c>
      <x:c r="F334" s="33" t="str">
        <x:v>CX85</x:v>
      </x:c>
      <x:c r="G334" s="33" t="str">
        <x:v>BSc (Hons)</x:v>
      </x:c>
      <x:c r="H334" s="35" t="str">
        <x:v>64 UCAS tariff points</x:v>
      </x:c>
      <x:c r="I334" s="35" t="str">
        <x:v>No</x:v>
      </x:c>
      <x:c r="J334" s="35" t="str">
        <x:v>Most undergraduate courses require GCSE English Language at grade 4/C or equivalent. Some courses also require GCSE Mathematics at grade 4/C or equivalent.</x:v>
      </x:c>
      <x:c r="K334" s="35" t="str">
        <x:v>https://www.keele.ac.uk/clearing/entry-requirements/</x:v>
      </x:c>
      <x:c r="L334" s="35" t="str">
        <x:v>https://www.keele.ac.uk/study/undergraduate-2026/undergraduatecourses/psychologyineducation/</x:v>
      </x:c>
      <x:c r="M334" s="33" t="str">
        <x:v>Yes</x:v>
      </x:c>
      <x:c r="N334" s="38" t="n">
        <x:v>46195</x:v>
      </x:c>
      <x:c r="O334" s="35" t="str">
        <x:v>Clearing content team</x:v>
      </x:c>
      <x:c r="P334" s="35" t="str">
        <x:v>Initial import from Clearing vacancies and ER page for 2026.docx</x:v>
      </x:c>
      <x:c r="Q334" s="36" t="str">
        <x:f>IF(A334="","Missing ID",IF(COUNTIF($A$5:$A$1000,A334)&gt;1,"Duplicate ID",IF(C334="","Missing title",IF(D334="","Missing type",IF(E334="","Missing availability",IF(H334="","Missing offer",IF(L334="","Missing course URL",IF(ISERROR(SEARCH("https://www.keele.ac.uk/",L334)),"Non-Keele URL",IF(AND(D334="Foundation year",ISERROR(SEARCH("#foundationyear",L334))),"FY URL missing #foundationyear",IF(M334="","Missing display status",IF(N334="","Missing review date",IF(O334="","Missing owner",IF(P334="","Missing change note","OK")))))))))))))</x:f>
        <x:v>OK</x:v>
      </x:c>
    </x:row>
    <x:row r="335">
      <x:c r="A335" s="33" t="str">
        <x:v>2026-psychologyineducation-FY</x:v>
      </x:c>
      <x:c r="B335" s="37" t="n">
        <x:v>2026</x:v>
      </x:c>
      <x:c r="C335" s="35" t="str">
        <x:v>Psychology in Education with Foundation Year</x:v>
      </x:c>
      <x:c r="D335" s="33" t="str">
        <x:v>Foundation year</x:v>
      </x:c>
      <x:c r="E335" s="33" t="str">
        <x:v>Vacancies</x:v>
      </x:c>
      <x:c r="F335" s="33" t="str"/>
      <x:c r="G335" s="33" t="str"/>
      <x:c r="H335" s="35" t="str">
        <x:v>Course-specific</x:v>
      </x:c>
      <x:c r="I335" s="35" t="str">
        <x:v>No</x:v>
      </x:c>
      <x:c r="J335" s="35" t="str">
        <x:v>Foundation Year requirements vary by course. View the full course details or call 01782 491120 to discuss your qualifications.</x:v>
      </x:c>
      <x:c r="K335" s="35" t="str">
        <x:v>https://www.keele.ac.uk/clearing/entry-requirements/</x:v>
      </x:c>
      <x:c r="L335" s="35" t="str">
        <x:v>https://www.keele.ac.uk/study/undergraduate-2026/undergraduatecourses/psychologyineducation/#foundationyear</x:v>
      </x:c>
      <x:c r="M335" s="33" t="str">
        <x:v>Yes</x:v>
      </x:c>
      <x:c r="N335" s="38" t="n">
        <x:v>46195</x:v>
      </x:c>
      <x:c r="O335" s="35" t="str">
        <x:v>Clearing content team</x:v>
      </x:c>
      <x:c r="P335" s="35" t="str">
        <x:v>Initial import from Clearing vacancies and ER page for 2026.docx</x:v>
      </x:c>
      <x:c r="Q335" s="36" t="str">
        <x:f>IF(A335="","Missing ID",IF(COUNTIF($A$5:$A$1000,A335)&gt;1,"Duplicate ID",IF(C335="","Missing title",IF(D335="","Missing type",IF(E335="","Missing availability",IF(H335="","Missing offer",IF(L335="","Missing course URL",IF(ISERROR(SEARCH("https://www.keele.ac.uk/",L335)),"Non-Keele URL",IF(AND(D335="Foundation year",ISERROR(SEARCH("#foundationyear",L335))),"FY URL missing #foundationyear",IF(M335="","Missing display status",IF(N335="","Missing review date",IF(O335="","Missing owner",IF(P335="","Missing change note","OK")))))))))))))</x:f>
        <x:v>OK</x:v>
      </x:c>
    </x:row>
    <x:row r="336">
      <x:c r="A336" s="33" t="str">
        <x:v>2026-C8B9-UG</x:v>
      </x:c>
      <x:c r="B336" s="37" t="n">
        <x:v>2026</x:v>
      </x:c>
      <x:c r="C336" s="35" t="str">
        <x:v>Psychology with Counselling</x:v>
      </x:c>
      <x:c r="D336" s="33" t="str">
        <x:v>Undergraduate</x:v>
      </x:c>
      <x:c r="E336" s="33" t="str">
        <x:v>Vacancies</x:v>
      </x:c>
      <x:c r="F336" s="33" t="str">
        <x:v>C8B9</x:v>
      </x:c>
      <x:c r="G336" s="33" t="str">
        <x:v>BSc (Hons)</x:v>
      </x:c>
      <x:c r="H336" s="35" t="str">
        <x:v>64 UCAS tariff points</x:v>
      </x:c>
      <x:c r="I336" s="35" t="str">
        <x:v>No</x:v>
      </x:c>
      <x:c r="J336" s="35" t="str">
        <x:v>Most undergraduate courses require GCSE English Language at grade 4/C or equivalent. Some courses also require GCSE Mathematics at grade 4/C or equivalent.</x:v>
      </x:c>
      <x:c r="K336" s="35" t="str">
        <x:v>https://www.keele.ac.uk/clearing/entry-requirements/</x:v>
      </x:c>
      <x:c r="L336" s="35" t="str">
        <x:v>https://www.keele.ac.uk/study/undergraduate-2026/undergraduatecourses/psychologywithcounselling/</x:v>
      </x:c>
      <x:c r="M336" s="33" t="str">
        <x:v>Yes</x:v>
      </x:c>
      <x:c r="N336" s="38" t="n">
        <x:v>46195</x:v>
      </x:c>
      <x:c r="O336" s="35" t="str">
        <x:v>Clearing content team</x:v>
      </x:c>
      <x:c r="P336" s="35" t="str">
        <x:v>Initial import from Clearing vacancies and ER page for 2026.docx</x:v>
      </x:c>
      <x:c r="Q336" s="36" t="str">
        <x:f>IF(A336="","Missing ID",IF(COUNTIF($A$5:$A$1000,A336)&gt;1,"Duplicate ID",IF(C336="","Missing title",IF(D336="","Missing type",IF(E336="","Missing availability",IF(H336="","Missing offer",IF(L336="","Missing course URL",IF(ISERROR(SEARCH("https://www.keele.ac.uk/",L336)),"Non-Keele URL",IF(AND(D336="Foundation year",ISERROR(SEARCH("#foundationyear",L336))),"FY URL missing #foundationyear",IF(M336="","Missing display status",IF(N336="","Missing review date",IF(O336="","Missing owner",IF(P336="","Missing change note","OK")))))))))))))</x:f>
        <x:v>OK</x:v>
      </x:c>
    </x:row>
    <x:row r="337">
      <x:c r="A337" s="33" t="str">
        <x:v>2026-psychologywithcounselling-FY</x:v>
      </x:c>
      <x:c r="B337" s="37" t="n">
        <x:v>2026</x:v>
      </x:c>
      <x:c r="C337" s="35" t="str">
        <x:v>Psychology with Counselling with Foundation Year</x:v>
      </x:c>
      <x:c r="D337" s="33" t="str">
        <x:v>Foundation year</x:v>
      </x:c>
      <x:c r="E337" s="33" t="str">
        <x:v>Vacancies</x:v>
      </x:c>
      <x:c r="F337" s="33" t="str"/>
      <x:c r="G337" s="33" t="str"/>
      <x:c r="H337" s="35" t="str">
        <x:v>Course-specific</x:v>
      </x:c>
      <x:c r="I337" s="35" t="str">
        <x:v>No</x:v>
      </x:c>
      <x:c r="J337" s="35" t="str">
        <x:v>Foundation Year requirements vary by course. View the full course details or call 01782 491120 to discuss your qualifications.</x:v>
      </x:c>
      <x:c r="K337" s="35" t="str">
        <x:v>https://www.keele.ac.uk/clearing/entry-requirements/</x:v>
      </x:c>
      <x:c r="L337" s="35" t="str">
        <x:v>https://www.keele.ac.uk/study/undergraduate-2026/undergraduatecourses/psychologywithcounselling/#foundationyear</x:v>
      </x:c>
      <x:c r="M337" s="33" t="str">
        <x:v>Yes</x:v>
      </x:c>
      <x:c r="N337" s="38" t="n">
        <x:v>46195</x:v>
      </x:c>
      <x:c r="O337" s="35" t="str">
        <x:v>Clearing content team</x:v>
      </x:c>
      <x:c r="P337" s="35" t="str">
        <x:v>Initial import from Clearing vacancies and ER page for 2026.docx</x:v>
      </x:c>
      <x:c r="Q337" s="36" t="str">
        <x:f>IF(A337="","Missing ID",IF(COUNTIF($A$5:$A$1000,A337)&gt;1,"Duplicate ID",IF(C337="","Missing title",IF(D337="","Missing type",IF(E337="","Missing availability",IF(H337="","Missing offer",IF(L337="","Missing course URL",IF(ISERROR(SEARCH("https://www.keele.ac.uk/",L337)),"Non-Keele URL",IF(AND(D337="Foundation year",ISERROR(SEARCH("#foundationyear",L337))),"FY URL missing #foundationyear",IF(M337="","Missing display status",IF(N337="","Missing review date",IF(O337="","Missing owner",IF(P337="","Missing change note","OK")))))))))))))</x:f>
        <x:v>OK</x:v>
      </x:c>
    </x:row>
    <x:row r="338">
      <x:c r="A338" s="33" t="str">
        <x:v>2026-C8M1-UG</x:v>
      </x:c>
      <x:c r="B338" s="37" t="n">
        <x:v>2026</x:v>
      </x:c>
      <x:c r="C338" s="35" t="str">
        <x:v>Psychology with Criminology</x:v>
      </x:c>
      <x:c r="D338" s="33" t="str">
        <x:v>Undergraduate</x:v>
      </x:c>
      <x:c r="E338" s="33" t="str">
        <x:v>Vacancies</x:v>
      </x:c>
      <x:c r="F338" s="33" t="str">
        <x:v>C8M1</x:v>
      </x:c>
      <x:c r="G338" s="33" t="str">
        <x:v>BSc (Hons)</x:v>
      </x:c>
      <x:c r="H338" s="35" t="str">
        <x:v>64 UCAS tariff points</x:v>
      </x:c>
      <x:c r="I338" s="35" t="str">
        <x:v>No</x:v>
      </x:c>
      <x:c r="J338" s="35" t="str">
        <x:v>Most undergraduate courses require GCSE English Language at grade 4/C or equivalent. Some courses also require GCSE Mathematics at grade 4/C or equivalent.</x:v>
      </x:c>
      <x:c r="K338" s="35" t="str">
        <x:v>https://www.keele.ac.uk/clearing/entry-requirements/</x:v>
      </x:c>
      <x:c r="L338" s="35" t="str">
        <x:v>https://www.keele.ac.uk/study/undergraduate-2026/undergraduatecourses/psychologywithcriminology/</x:v>
      </x:c>
      <x:c r="M338" s="33" t="str">
        <x:v>Yes</x:v>
      </x:c>
      <x:c r="N338" s="38" t="n">
        <x:v>46195</x:v>
      </x:c>
      <x:c r="O338" s="35" t="str">
        <x:v>Clearing content team</x:v>
      </x:c>
      <x:c r="P338" s="35" t="str">
        <x:v>Initial import from Clearing vacancies and ER page for 2026.docx</x:v>
      </x:c>
      <x:c r="Q338" s="36" t="str">
        <x:f>IF(A338="","Missing ID",IF(COUNTIF($A$5:$A$1000,A338)&gt;1,"Duplicate ID",IF(C338="","Missing title",IF(D338="","Missing type",IF(E338="","Missing availability",IF(H338="","Missing offer",IF(L338="","Missing course URL",IF(ISERROR(SEARCH("https://www.keele.ac.uk/",L338)),"Non-Keele URL",IF(AND(D338="Foundation year",ISERROR(SEARCH("#foundationyear",L338))),"FY URL missing #foundationyear",IF(M338="","Missing display status",IF(N338="","Missing review date",IF(O338="","Missing owner",IF(P338="","Missing change note","OK")))))))))))))</x:f>
        <x:v>OK</x:v>
      </x:c>
    </x:row>
    <x:row r="339">
      <x:c r="A339" s="33" t="str">
        <x:v>2026-psychologywithcriminology-FY</x:v>
      </x:c>
      <x:c r="B339" s="37" t="n">
        <x:v>2026</x:v>
      </x:c>
      <x:c r="C339" s="35" t="str">
        <x:v>Psychology with Criminology with Foundation Year</x:v>
      </x:c>
      <x:c r="D339" s="33" t="str">
        <x:v>Foundation year</x:v>
      </x:c>
      <x:c r="E339" s="33" t="str">
        <x:v>Vacancies</x:v>
      </x:c>
      <x:c r="F339" s="33" t="str"/>
      <x:c r="G339" s="33" t="str"/>
      <x:c r="H339" s="35" t="str">
        <x:v>Course-specific</x:v>
      </x:c>
      <x:c r="I339" s="35" t="str">
        <x:v>No</x:v>
      </x:c>
      <x:c r="J339" s="35" t="str">
        <x:v>Foundation Year requirements vary by course. View the full course details or call 01782 491120 to discuss your qualifications.</x:v>
      </x:c>
      <x:c r="K339" s="35" t="str">
        <x:v>https://www.keele.ac.uk/clearing/entry-requirements/</x:v>
      </x:c>
      <x:c r="L339" s="35" t="str">
        <x:v>https://www.keele.ac.uk/study/undergraduate-2026/undergraduatecourses/psychologywithcriminology/#foundationyear</x:v>
      </x:c>
      <x:c r="M339" s="33" t="str">
        <x:v>Yes</x:v>
      </x:c>
      <x:c r="N339" s="38" t="n">
        <x:v>46195</x:v>
      </x:c>
      <x:c r="O339" s="35" t="str">
        <x:v>Clearing content team</x:v>
      </x:c>
      <x:c r="P339" s="35" t="str">
        <x:v>Initial import from Clearing vacancies and ER page for 2026.docx</x:v>
      </x:c>
      <x:c r="Q339" s="36" t="str">
        <x:f>IF(A339="","Missing ID",IF(COUNTIF($A$5:$A$1000,A339)&gt;1,"Duplicate ID",IF(C339="","Missing title",IF(D339="","Missing type",IF(E339="","Missing availability",IF(H339="","Missing offer",IF(L339="","Missing course URL",IF(ISERROR(SEARCH("https://www.keele.ac.uk/",L339)),"Non-Keele URL",IF(AND(D339="Foundation year",ISERROR(SEARCH("#foundationyear",L339))),"FY URL missing #foundationyear",IF(M339="","Missing display status",IF(N339="","Missing review date",IF(O339="","Missing owner",IF(P339="","Missing change note","OK")))))))))))))</x:f>
        <x:v>OK</x:v>
      </x:c>
    </x:row>
    <x:row r="340">
      <x:c r="A340" s="33" t="str">
        <x:v>2026-psychology-FY</x:v>
      </x:c>
      <x:c r="B340" s="37" t="n">
        <x:v>2026</x:v>
      </x:c>
      <x:c r="C340" s="35" t="str">
        <x:v>Psychology with Foundation Year</x:v>
      </x:c>
      <x:c r="D340" s="33" t="str">
        <x:v>Foundation year</x:v>
      </x:c>
      <x:c r="E340" s="33" t="str">
        <x:v>Vacancies</x:v>
      </x:c>
      <x:c r="F340" s="33" t="str"/>
      <x:c r="G340" s="33" t="str"/>
      <x:c r="H340" s="35" t="str">
        <x:v>Course-specific</x:v>
      </x:c>
      <x:c r="I340" s="35" t="str">
        <x:v>No</x:v>
      </x:c>
      <x:c r="J340" s="35" t="str">
        <x:v>Foundation Year requirements vary by course. View the full course details or call 01782 491120 to discuss your qualifications.</x:v>
      </x:c>
      <x:c r="K340" s="35" t="str">
        <x:v>https://www.keele.ac.uk/clearing/entry-requirements/</x:v>
      </x:c>
      <x:c r="L340" s="35" t="str">
        <x:v>https://www.keele.ac.uk/study/undergraduate-2026/undergraduatecourses/psychology/#foundationyear</x:v>
      </x:c>
      <x:c r="M340" s="33" t="str">
        <x:v>Yes</x:v>
      </x:c>
      <x:c r="N340" s="38" t="n">
        <x:v>46195</x:v>
      </x:c>
      <x:c r="O340" s="35" t="str">
        <x:v>Clearing content team</x:v>
      </x:c>
      <x:c r="P340" s="35" t="str">
        <x:v>Initial import from Clearing vacancies and ER page for 2026.docx</x:v>
      </x:c>
      <x:c r="Q340" s="36" t="str">
        <x:f>IF(A340="","Missing ID",IF(COUNTIF($A$5:$A$1000,A340)&gt;1,"Duplicate ID",IF(C340="","Missing title",IF(D340="","Missing type",IF(E340="","Missing availability",IF(H340="","Missing offer",IF(L340="","Missing course URL",IF(ISERROR(SEARCH("https://www.keele.ac.uk/",L340)),"Non-Keele URL",IF(AND(D340="Foundation year",ISERROR(SEARCH("#foundationyear",L340))),"FY URL missing #foundationyear",IF(M340="","Missing display status",IF(N340="","Missing review date",IF(O340="","Missing owner",IF(P340="","Missing change note","OK")))))))))))))</x:f>
        <x:v>OK</x:v>
      </x:c>
    </x:row>
    <x:row r="341">
      <x:c r="A341" s="33" t="str">
        <x:v>2026-C1CV-UG</x:v>
      </x:c>
      <x:c r="B341" s="37" t="n">
        <x:v>2026</x:v>
      </x:c>
      <x:c r="C341" s="35" t="str">
        <x:v>Psychology with Human Biology</x:v>
      </x:c>
      <x:c r="D341" s="33" t="str">
        <x:v>Undergraduate</x:v>
      </x:c>
      <x:c r="E341" s="33" t="str">
        <x:v>Vacancies</x:v>
      </x:c>
      <x:c r="F341" s="33" t="str">
        <x:v>C1CV</x:v>
      </x:c>
      <x:c r="G341" s="33" t="str">
        <x:v>BSc (Hons)</x:v>
      </x:c>
      <x:c r="H341" s="35" t="str">
        <x:v>64 UCAS tariff points</x:v>
      </x:c>
      <x:c r="I341" s="35" t="str">
        <x:v>No</x:v>
      </x:c>
      <x:c r="J341" s="35" t="str">
        <x:v>Most undergraduate courses require GCSE English Language at grade 4/C or equivalent. Some courses also require GCSE Mathematics at grade 4/C or equivalent.</x:v>
      </x:c>
      <x:c r="K341" s="35" t="str">
        <x:v>https://www.keele.ac.uk/clearing/entry-requirements/</x:v>
      </x:c>
      <x:c r="L341" s="35" t="str">
        <x:v>https://www.keele.ac.uk/study/undergraduate-2026/undergraduatecourses/psychologywithhumanbiology/</x:v>
      </x:c>
      <x:c r="M341" s="33" t="str">
        <x:v>Yes</x:v>
      </x:c>
      <x:c r="N341" s="38" t="n">
        <x:v>46195</x:v>
      </x:c>
      <x:c r="O341" s="35" t="str">
        <x:v>Clearing content team</x:v>
      </x:c>
      <x:c r="P341" s="35" t="str">
        <x:v>Initial import from Clearing vacancies and ER page for 2026.docx</x:v>
      </x:c>
      <x:c r="Q341" s="36" t="str">
        <x:f>IF(A341="","Missing ID",IF(COUNTIF($A$5:$A$1000,A341)&gt;1,"Duplicate ID",IF(C341="","Missing title",IF(D341="","Missing type",IF(E341="","Missing availability",IF(H341="","Missing offer",IF(L341="","Missing course URL",IF(ISERROR(SEARCH("https://www.keele.ac.uk/",L341)),"Non-Keele URL",IF(AND(D341="Foundation year",ISERROR(SEARCH("#foundationyear",L341))),"FY URL missing #foundationyear",IF(M341="","Missing display status",IF(N341="","Missing review date",IF(O341="","Missing owner",IF(P341="","Missing change note","OK")))))))))))))</x:f>
        <x:v>OK</x:v>
      </x:c>
    </x:row>
    <x:row r="342">
      <x:c r="A342" s="33" t="str">
        <x:v>2026-psychologywithhumanbiology-FY</x:v>
      </x:c>
      <x:c r="B342" s="37" t="n">
        <x:v>2026</x:v>
      </x:c>
      <x:c r="C342" s="35" t="str">
        <x:v>Psychology with Human Biology with Foundation Year</x:v>
      </x:c>
      <x:c r="D342" s="33" t="str">
        <x:v>Foundation year</x:v>
      </x:c>
      <x:c r="E342" s="33" t="str">
        <x:v>Vacancies</x:v>
      </x:c>
      <x:c r="F342" s="33" t="str"/>
      <x:c r="G342" s="33" t="str"/>
      <x:c r="H342" s="35" t="str">
        <x:v>Course-specific</x:v>
      </x:c>
      <x:c r="I342" s="35" t="str">
        <x:v>No</x:v>
      </x:c>
      <x:c r="J342" s="35" t="str">
        <x:v>Foundation Year requirements vary by course. View the full course details or call 01782 491120 to discuss your qualifications.</x:v>
      </x:c>
      <x:c r="K342" s="35" t="str">
        <x:v>https://www.keele.ac.uk/clearing/entry-requirements/</x:v>
      </x:c>
      <x:c r="L342" s="35" t="str">
        <x:v>https://www.keele.ac.uk/study/undergraduate-2026/undergraduatecourses/psychologywithhumanbiology/#foundationyear</x:v>
      </x:c>
      <x:c r="M342" s="33" t="str">
        <x:v>Yes</x:v>
      </x:c>
      <x:c r="N342" s="38" t="n">
        <x:v>46195</x:v>
      </x:c>
      <x:c r="O342" s="35" t="str">
        <x:v>Clearing content team</x:v>
      </x:c>
      <x:c r="P342" s="35" t="str">
        <x:v>Initial import from Clearing vacancies and ER page for 2026.docx</x:v>
      </x:c>
      <x:c r="Q342" s="36" t="str">
        <x:f>IF(A342="","Missing ID",IF(COUNTIF($A$5:$A$1000,A342)&gt;1,"Duplicate ID",IF(C342="","Missing title",IF(D342="","Missing type",IF(E342="","Missing availability",IF(H342="","Missing offer",IF(L342="","Missing course URL",IF(ISERROR(SEARCH("https://www.keele.ac.uk/",L342)),"Non-Keele URL",IF(AND(D342="Foundation year",ISERROR(SEARCH("#foundationyear",L342))),"FY URL missing #foundationyear",IF(M342="","Missing display status",IF(N342="","Missing review date",IF(O342="","Missing owner",IF(P342="","Missing change note","OK")))))))))))))</x:f>
        <x:v>OK</x:v>
      </x:c>
    </x:row>
    <x:row r="343">
      <x:c r="A343" s="33" t="str">
        <x:v>2026-C832-UG</x:v>
      </x:c>
      <x:c r="B343" s="37" t="n">
        <x:v>2026</x:v>
      </x:c>
      <x:c r="C343" s="35" t="str">
        <x:v>Psychology with Neuroscience</x:v>
      </x:c>
      <x:c r="D343" s="33" t="str">
        <x:v>Undergraduate</x:v>
      </x:c>
      <x:c r="E343" s="33" t="str">
        <x:v>Vacancies</x:v>
      </x:c>
      <x:c r="F343" s="33" t="str">
        <x:v>C832</x:v>
      </x:c>
      <x:c r="G343" s="33" t="str">
        <x:v>BSc (Hons)</x:v>
      </x:c>
      <x:c r="H343" s="35" t="str">
        <x:v>64 UCAS tariff points</x:v>
      </x:c>
      <x:c r="I343" s="35" t="str">
        <x:v>No</x:v>
      </x:c>
      <x:c r="J343" s="35" t="str">
        <x:v>Most undergraduate courses require GCSE English Language at grade 4/C or equivalent. Some courses also require GCSE Mathematics at grade 4/C or equivalent.</x:v>
      </x:c>
      <x:c r="K343" s="35" t="str">
        <x:v>https://www.keele.ac.uk/clearing/entry-requirements/</x:v>
      </x:c>
      <x:c r="L343" s="35" t="str">
        <x:v>https://www.keele.ac.uk/study/undergraduate-2026/undergraduatecourses/psychologywithneuroscience/</x:v>
      </x:c>
      <x:c r="M343" s="33" t="str">
        <x:v>Yes</x:v>
      </x:c>
      <x:c r="N343" s="38" t="n">
        <x:v>46195</x:v>
      </x:c>
      <x:c r="O343" s="35" t="str">
        <x:v>Clearing content team</x:v>
      </x:c>
      <x:c r="P343" s="35" t="str">
        <x:v>Initial import from Clearing vacancies and ER page for 2026.docx</x:v>
      </x:c>
      <x:c r="Q343" s="36" t="str">
        <x:f>IF(A343="","Missing ID",IF(COUNTIF($A$5:$A$1000,A343)&gt;1,"Duplicate ID",IF(C343="","Missing title",IF(D343="","Missing type",IF(E343="","Missing availability",IF(H343="","Missing offer",IF(L343="","Missing course URL",IF(ISERROR(SEARCH("https://www.keele.ac.uk/",L343)),"Non-Keele URL",IF(AND(D343="Foundation year",ISERROR(SEARCH("#foundationyear",L343))),"FY URL missing #foundationyear",IF(M343="","Missing display status",IF(N343="","Missing review date",IF(O343="","Missing owner",IF(P343="","Missing change note","OK")))))))))))))</x:f>
        <x:v>OK</x:v>
      </x:c>
    </x:row>
    <x:row r="344">
      <x:c r="A344" s="33" t="str">
        <x:v>2026-psychologywithneuroscience-FY</x:v>
      </x:c>
      <x:c r="B344" s="37" t="n">
        <x:v>2026</x:v>
      </x:c>
      <x:c r="C344" s="35" t="str">
        <x:v>Psychology with Neuroscience with Foundation Year</x:v>
      </x:c>
      <x:c r="D344" s="33" t="str">
        <x:v>Foundation year</x:v>
      </x:c>
      <x:c r="E344" s="33" t="str">
        <x:v>Vacancies</x:v>
      </x:c>
      <x:c r="F344" s="33" t="str"/>
      <x:c r="G344" s="33" t="str"/>
      <x:c r="H344" s="35" t="str">
        <x:v>Course-specific</x:v>
      </x:c>
      <x:c r="I344" s="35" t="str">
        <x:v>No</x:v>
      </x:c>
      <x:c r="J344" s="35" t="str">
        <x:v>Foundation Year requirements vary by course. View the full course details or call 01782 491120 to discuss your qualifications.</x:v>
      </x:c>
      <x:c r="K344" s="35" t="str">
        <x:v>https://www.keele.ac.uk/clearing/entry-requirements/</x:v>
      </x:c>
      <x:c r="L344" s="35" t="str">
        <x:v>https://www.keele.ac.uk/study/undergraduate-2026/undergraduatecourses/psychologywithneuroscience/#foundationyear</x:v>
      </x:c>
      <x:c r="M344" s="33" t="str">
        <x:v>Yes</x:v>
      </x:c>
      <x:c r="N344" s="38" t="n">
        <x:v>46195</x:v>
      </x:c>
      <x:c r="O344" s="35" t="str">
        <x:v>Clearing content team</x:v>
      </x:c>
      <x:c r="P344" s="35" t="str">
        <x:v>Initial import from Clearing vacancies and ER page for 2026.docx</x:v>
      </x:c>
      <x:c r="Q344" s="36" t="str">
        <x:f>IF(A344="","Missing ID",IF(COUNTIF($A$5:$A$1000,A344)&gt;1,"Duplicate ID",IF(C344="","Missing title",IF(D344="","Missing type",IF(E344="","Missing availability",IF(H344="","Missing offer",IF(L344="","Missing course URL",IF(ISERROR(SEARCH("https://www.keele.ac.uk/",L344)),"Non-Keele URL",IF(AND(D344="Foundation year",ISERROR(SEARCH("#foundationyear",L344))),"FY URL missing #foundationyear",IF(M344="","Missing display status",IF(N344="","Missing review date",IF(O344="","Missing owner",IF(P344="","Missing change note","OK")))))))))))))</x:f>
        <x:v>OK</x:v>
      </x:c>
    </x:row>
    <x:row r="345">
      <x:c r="A345" s="33" t="str">
        <x:v>2026-C8V5-UG</x:v>
      </x:c>
      <x:c r="B345" s="37" t="n">
        <x:v>2026</x:v>
      </x:c>
      <x:c r="C345" s="35" t="str">
        <x:v>Psychology with Philosophy</x:v>
      </x:c>
      <x:c r="D345" s="33" t="str">
        <x:v>Undergraduate</x:v>
      </x:c>
      <x:c r="E345" s="33" t="str">
        <x:v>Vacancies</x:v>
      </x:c>
      <x:c r="F345" s="33" t="str">
        <x:v>C8V5</x:v>
      </x:c>
      <x:c r="G345" s="33" t="str">
        <x:v>BSc (Hons)</x:v>
      </x:c>
      <x:c r="H345" s="35" t="str">
        <x:v>64 UCAS tariff points</x:v>
      </x:c>
      <x:c r="I345" s="35" t="str">
        <x:v>No</x:v>
      </x:c>
      <x:c r="J345" s="35" t="str">
        <x:v>Most undergraduate courses require GCSE English Language at grade 4/C or equivalent. Some courses also require GCSE Mathematics at grade 4/C or equivalent.</x:v>
      </x:c>
      <x:c r="K345" s="35" t="str">
        <x:v>https://www.keele.ac.uk/clearing/entry-requirements/</x:v>
      </x:c>
      <x:c r="L345" s="35" t="str">
        <x:v>https://www.keele.ac.uk/study/undergraduate-2026/undergraduatecourses/psychologywithphilosophy/</x:v>
      </x:c>
      <x:c r="M345" s="33" t="str">
        <x:v>Yes</x:v>
      </x:c>
      <x:c r="N345" s="38" t="n">
        <x:v>46195</x:v>
      </x:c>
      <x:c r="O345" s="35" t="str">
        <x:v>Clearing content team</x:v>
      </x:c>
      <x:c r="P345" s="35" t="str">
        <x:v>Initial import from Clearing vacancies and ER page for 2026.docx</x:v>
      </x:c>
      <x:c r="Q345" s="36" t="str">
        <x:f>IF(A345="","Missing ID",IF(COUNTIF($A$5:$A$1000,A345)&gt;1,"Duplicate ID",IF(C345="","Missing title",IF(D345="","Missing type",IF(E345="","Missing availability",IF(H345="","Missing offer",IF(L345="","Missing course URL",IF(ISERROR(SEARCH("https://www.keele.ac.uk/",L345)),"Non-Keele URL",IF(AND(D345="Foundation year",ISERROR(SEARCH("#foundationyear",L345))),"FY URL missing #foundationyear",IF(M345="","Missing display status",IF(N345="","Missing review date",IF(O345="","Missing owner",IF(P345="","Missing change note","OK")))))))))))))</x:f>
        <x:v>OK</x:v>
      </x:c>
    </x:row>
    <x:row r="346">
      <x:c r="A346" s="33" t="str">
        <x:v>2026-psychologywithphilosophy-FY</x:v>
      </x:c>
      <x:c r="B346" s="37" t="n">
        <x:v>2026</x:v>
      </x:c>
      <x:c r="C346" s="35" t="str">
        <x:v>Psychology with Philosophy with Foundation Year</x:v>
      </x:c>
      <x:c r="D346" s="33" t="str">
        <x:v>Foundation year</x:v>
      </x:c>
      <x:c r="E346" s="33" t="str">
        <x:v>Vacancies</x:v>
      </x:c>
      <x:c r="F346" s="33" t="str"/>
      <x:c r="G346" s="33" t="str"/>
      <x:c r="H346" s="35" t="str">
        <x:v>Course-specific</x:v>
      </x:c>
      <x:c r="I346" s="35" t="str">
        <x:v>No</x:v>
      </x:c>
      <x:c r="J346" s="35" t="str">
        <x:v>Foundation Year requirements vary by course. View the full course details or call 01782 491120 to discuss your qualifications.</x:v>
      </x:c>
      <x:c r="K346" s="35" t="str">
        <x:v>https://www.keele.ac.uk/clearing/entry-requirements/</x:v>
      </x:c>
      <x:c r="L346" s="35" t="str">
        <x:v>https://www.keele.ac.uk/study/undergraduate-2026/undergraduatecourses/psychologywithphilosophy/#foundationyear</x:v>
      </x:c>
      <x:c r="M346" s="33" t="str">
        <x:v>Yes</x:v>
      </x:c>
      <x:c r="N346" s="38" t="n">
        <x:v>46195</x:v>
      </x:c>
      <x:c r="O346" s="35" t="str">
        <x:v>Clearing content team</x:v>
      </x:c>
      <x:c r="P346" s="35" t="str">
        <x:v>Initial import from Clearing vacancies and ER page for 2026.docx</x:v>
      </x:c>
      <x:c r="Q346" s="36" t="str">
        <x:f>IF(A346="","Missing ID",IF(COUNTIF($A$5:$A$1000,A346)&gt;1,"Duplicate ID",IF(C346="","Missing title",IF(D346="","Missing type",IF(E346="","Missing availability",IF(H346="","Missing offer",IF(L346="","Missing course URL",IF(ISERROR(SEARCH("https://www.keele.ac.uk/",L346)),"Non-Keele URL",IF(AND(D346="Foundation year",ISERROR(SEARCH("#foundationyear",L346))),"FY URL missing #foundationyear",IF(M346="","Missing display status",IF(N346="","Missing review date",IF(O346="","Missing owner",IF(P346="","Missing change note","OK")))))))))))))</x:f>
        <x:v>OK</x:v>
      </x:c>
    </x:row>
    <x:row r="347">
      <x:c r="A347" s="33" t="str">
        <x:v>2026-C805-UG</x:v>
      </x:c>
      <x:c r="B347" s="37" t="n">
        <x:v>2026</x:v>
      </x:c>
      <x:c r="C347" s="35" t="str">
        <x:v>Psychology with Placement Year</x:v>
      </x:c>
      <x:c r="D347" s="33" t="str">
        <x:v>Undergraduate</x:v>
      </x:c>
      <x:c r="E347" s="33" t="str">
        <x:v>Vacancies</x:v>
      </x:c>
      <x:c r="F347" s="33" t="str">
        <x:v>C805</x:v>
      </x:c>
      <x:c r="G347" s="33" t="str">
        <x:v>BSc (Hons)</x:v>
      </x:c>
      <x:c r="H347" s="35" t="str">
        <x:v>64 UCAS tariff points</x:v>
      </x:c>
      <x:c r="I347" s="35" t="str">
        <x:v>No</x:v>
      </x:c>
      <x:c r="J347" s="35" t="str">
        <x:v>Most undergraduate courses require GCSE English Language at grade 4/C or equivalent. Some courses also require GCSE Mathematics at grade 4/C or equivalent.</x:v>
      </x:c>
      <x:c r="K347" s="35" t="str">
        <x:v>https://www.keele.ac.uk/clearing/entry-requirements/</x:v>
      </x:c>
      <x:c r="L347" s="35" t="str">
        <x:v>https://www.keele.ac.uk/study/undergraduate-2026/undergraduatecourses/psychologywithplacementyear/</x:v>
      </x:c>
      <x:c r="M347" s="33" t="str">
        <x:v>Yes</x:v>
      </x:c>
      <x:c r="N347" s="38" t="n">
        <x:v>46195</x:v>
      </x:c>
      <x:c r="O347" s="35" t="str">
        <x:v>Clearing content team</x:v>
      </x:c>
      <x:c r="P347" s="35" t="str">
        <x:v>Initial import from Clearing vacancies and ER page for 2026.docx</x:v>
      </x:c>
      <x:c r="Q347" s="36" t="str">
        <x:f>IF(A347="","Missing ID",IF(COUNTIF($A$5:$A$1000,A347)&gt;1,"Duplicate ID",IF(C347="","Missing title",IF(D347="","Missing type",IF(E347="","Missing availability",IF(H347="","Missing offer",IF(L347="","Missing course URL",IF(ISERROR(SEARCH("https://www.keele.ac.uk/",L347)),"Non-Keele URL",IF(AND(D347="Foundation year",ISERROR(SEARCH("#foundationyear",L347))),"FY URL missing #foundationyear",IF(M347="","Missing display status",IF(N347="","Missing review date",IF(O347="","Missing owner",IF(P347="","Missing change note","OK")))))))))))))</x:f>
        <x:v>OK</x:v>
      </x:c>
    </x:row>
    <x:row r="348">
      <x:c r="A348" s="33" t="str">
        <x:v>2026-psychologywithplacementyear-FY</x:v>
      </x:c>
      <x:c r="B348" s="37" t="n">
        <x:v>2026</x:v>
      </x:c>
      <x:c r="C348" s="35" t="str">
        <x:v>Psychology with Placement Year with Foundation Year</x:v>
      </x:c>
      <x:c r="D348" s="33" t="str">
        <x:v>Foundation year</x:v>
      </x:c>
      <x:c r="E348" s="33" t="str">
        <x:v>Vacancies</x:v>
      </x:c>
      <x:c r="F348" s="33" t="str"/>
      <x:c r="G348" s="33" t="str"/>
      <x:c r="H348" s="35" t="str">
        <x:v>Course-specific</x:v>
      </x:c>
      <x:c r="I348" s="35" t="str">
        <x:v>No</x:v>
      </x:c>
      <x:c r="J348" s="35" t="str">
        <x:v>Foundation Year requirements vary by course. View the full course details or call 01782 491120 to discuss your qualifications.</x:v>
      </x:c>
      <x:c r="K348" s="35" t="str">
        <x:v>https://www.keele.ac.uk/clearing/entry-requirements/</x:v>
      </x:c>
      <x:c r="L348" s="35" t="str">
        <x:v>https://www.keele.ac.uk/study/undergraduate-2026/undergraduatecourses/psychologywithplacementyear/#foundationyear</x:v>
      </x:c>
      <x:c r="M348" s="33" t="str">
        <x:v>Yes</x:v>
      </x:c>
      <x:c r="N348" s="38" t="n">
        <x:v>46195</x:v>
      </x:c>
      <x:c r="O348" s="35" t="str">
        <x:v>Clearing content team</x:v>
      </x:c>
      <x:c r="P348" s="35" t="str">
        <x:v>Initial import from Clearing vacancies and ER page for 2026.docx</x:v>
      </x:c>
      <x:c r="Q348" s="36" t="str">
        <x:f>IF(A348="","Missing ID",IF(COUNTIF($A$5:$A$1000,A348)&gt;1,"Duplicate ID",IF(C348="","Missing title",IF(D348="","Missing type",IF(E348="","Missing availability",IF(H348="","Missing offer",IF(L348="","Missing course URL",IF(ISERROR(SEARCH("https://www.keele.ac.uk/",L348)),"Non-Keele URL",IF(AND(D348="Foundation year",ISERROR(SEARCH("#foundationyear",L348))),"FY URL missing #foundationyear",IF(M348="","Missing display status",IF(N348="","Missing review date",IF(O348="","Missing owner",IF(P348="","Missing change note","OK")))))))))))))</x:f>
        <x:v>OK</x:v>
      </x:c>
    </x:row>
    <x:row r="349">
      <x:c r="A349" s="33" t="str">
        <x:v>2026-C8L3-UG</x:v>
      </x:c>
      <x:c r="B349" s="37" t="n">
        <x:v>2026</x:v>
      </x:c>
      <x:c r="C349" s="35" t="str">
        <x:v>Psychology with Sociology</x:v>
      </x:c>
      <x:c r="D349" s="33" t="str">
        <x:v>Undergraduate</x:v>
      </x:c>
      <x:c r="E349" s="33" t="str">
        <x:v>Vacancies</x:v>
      </x:c>
      <x:c r="F349" s="33" t="str">
        <x:v>C8L3</x:v>
      </x:c>
      <x:c r="G349" s="33" t="str">
        <x:v>BSc (Hons)</x:v>
      </x:c>
      <x:c r="H349" s="35" t="str">
        <x:v>64 UCAS tariff points</x:v>
      </x:c>
      <x:c r="I349" s="35" t="str">
        <x:v>No</x:v>
      </x:c>
      <x:c r="J349" s="35" t="str">
        <x:v>Most undergraduate courses require GCSE English Language at grade 4/C or equivalent. Some courses also require GCSE Mathematics at grade 4/C or equivalent.</x:v>
      </x:c>
      <x:c r="K349" s="35" t="str">
        <x:v>https://www.keele.ac.uk/clearing/entry-requirements/</x:v>
      </x:c>
      <x:c r="L349" s="35" t="str">
        <x:v>https://www.keele.ac.uk/study/undergraduate-2026/undergraduatecourses/psychologywithsociology/</x:v>
      </x:c>
      <x:c r="M349" s="33" t="str">
        <x:v>Yes</x:v>
      </x:c>
      <x:c r="N349" s="38" t="n">
        <x:v>46195</x:v>
      </x:c>
      <x:c r="O349" s="35" t="str">
        <x:v>Clearing content team</x:v>
      </x:c>
      <x:c r="P349" s="35" t="str">
        <x:v>Initial import from Clearing vacancies and ER page for 2026.docx</x:v>
      </x:c>
      <x:c r="Q349" s="36" t="str">
        <x:f>IF(A349="","Missing ID",IF(COUNTIF($A$5:$A$1000,A349)&gt;1,"Duplicate ID",IF(C349="","Missing title",IF(D349="","Missing type",IF(E349="","Missing availability",IF(H349="","Missing offer",IF(L349="","Missing course URL",IF(ISERROR(SEARCH("https://www.keele.ac.uk/",L349)),"Non-Keele URL",IF(AND(D349="Foundation year",ISERROR(SEARCH("#foundationyear",L349))),"FY URL missing #foundationyear",IF(M349="","Missing display status",IF(N349="","Missing review date",IF(O349="","Missing owner",IF(P349="","Missing change note","OK")))))))))))))</x:f>
        <x:v>OK</x:v>
      </x:c>
    </x:row>
    <x:row r="350">
      <x:c r="A350" s="33" t="str">
        <x:v>2026-psychologywithsociology-FY</x:v>
      </x:c>
      <x:c r="B350" s="37" t="n">
        <x:v>2026</x:v>
      </x:c>
      <x:c r="C350" s="35" t="str">
        <x:v>Psychology with Sociology with Foundation Year</x:v>
      </x:c>
      <x:c r="D350" s="33" t="str">
        <x:v>Foundation year</x:v>
      </x:c>
      <x:c r="E350" s="33" t="str">
        <x:v>Vacancies</x:v>
      </x:c>
      <x:c r="F350" s="33" t="str"/>
      <x:c r="G350" s="33" t="str"/>
      <x:c r="H350" s="35" t="str">
        <x:v>Course-specific</x:v>
      </x:c>
      <x:c r="I350" s="35" t="str">
        <x:v>No</x:v>
      </x:c>
      <x:c r="J350" s="35" t="str">
        <x:v>Foundation Year requirements vary by course. View the full course details or call 01782 491120 to discuss your qualifications.</x:v>
      </x:c>
      <x:c r="K350" s="35" t="str">
        <x:v>https://www.keele.ac.uk/clearing/entry-requirements/</x:v>
      </x:c>
      <x:c r="L350" s="35" t="str">
        <x:v>https://www.keele.ac.uk/study/undergraduate-2026/undergraduatecourses/psychologywithsociology/#foundationyear</x:v>
      </x:c>
      <x:c r="M350" s="33" t="str">
        <x:v>Yes</x:v>
      </x:c>
      <x:c r="N350" s="38" t="n">
        <x:v>46195</x:v>
      </x:c>
      <x:c r="O350" s="35" t="str">
        <x:v>Clearing content team</x:v>
      </x:c>
      <x:c r="P350" s="35" t="str">
        <x:v>Initial import from Clearing vacancies and ER page for 2026.docx</x:v>
      </x:c>
      <x:c r="Q350" s="36" t="str">
        <x:f>IF(A350="","Missing ID",IF(COUNTIF($A$5:$A$1000,A350)&gt;1,"Duplicate ID",IF(C350="","Missing title",IF(D350="","Missing type",IF(E350="","Missing availability",IF(H350="","Missing offer",IF(L350="","Missing course URL",IF(ISERROR(SEARCH("https://www.keele.ac.uk/",L350)),"Non-Keele URL",IF(AND(D350="Foundation year",ISERROR(SEARCH("#foundationyear",L350))),"FY URL missing #foundationyear",IF(M350="","Missing display status",IF(N350="","Missing review date",IF(O350="","Missing owner",IF(P350="","Missing change note","OK")))))))))))))</x:f>
        <x:v>OK</x:v>
      </x:c>
    </x:row>
    <x:row r="351">
      <x:c r="A351" s="33" t="str">
        <x:v>2026-B821-UG</x:v>
      </x:c>
      <x:c r="B351" s="37" t="n">
        <x:v>2026</x:v>
      </x:c>
      <x:c r="C351" s="35" t="str">
        <x:v>Radiography (Diagnostic Imaging)</x:v>
      </x:c>
      <x:c r="D351" s="33" t="str">
        <x:v>Undergraduate</x:v>
      </x:c>
      <x:c r="E351" s="33" t="str">
        <x:v>Full</x:v>
      </x:c>
      <x:c r="F351" s="33" t="str">
        <x:v>B821</x:v>
      </x:c>
      <x:c r="G351" s="33" t="str">
        <x:v>BSc (Hons)</x:v>
      </x:c>
      <x:c r="H351" s="35" t="str">
        <x:v>120 UCAS tariff points</x:v>
      </x:c>
      <x:c r="I351" s="35" t="str">
        <x:v>Yes</x:v>
      </x:c>
      <x:c r="J351" s="35" t="str">
        <x:v>This course has additional subject-specific requirements. View the full course details or contact Admissions before applying.</x:v>
      </x:c>
      <x:c r="K351" s="35" t="str">
        <x:v>https://www.keele.ac.uk/clearing/entry-requirements/</x:v>
      </x:c>
      <x:c r="L351" s="35" t="str">
        <x:v>https://www.keele.ac.uk/study/undergraduate-2026/undergraduatecourses/radiographydiagnosticimaging/</x:v>
      </x:c>
      <x:c r="M351" s="33" t="str">
        <x:v>Yes</x:v>
      </x:c>
      <x:c r="N351" s="38" t="n">
        <x:v>46195</x:v>
      </x:c>
      <x:c r="O351" s="35" t="str">
        <x:v>Clearing content team</x:v>
      </x:c>
      <x:c r="P351" s="35" t="str">
        <x:v>Initial import from Clearing vacancies and ER page for 2026.docx</x:v>
      </x:c>
      <x:c r="Q351" s="36" t="str">
        <x:f>IF(A351="","Missing ID",IF(COUNTIF($A$5:$A$1000,A351)&gt;1,"Duplicate ID",IF(C351="","Missing title",IF(D351="","Missing type",IF(E351="","Missing availability",IF(H351="","Missing offer",IF(L351="","Missing course URL",IF(ISERROR(SEARCH("https://www.keele.ac.uk/",L351)),"Non-Keele URL",IF(AND(D351="Foundation year",ISERROR(SEARCH("#foundationyear",L351))),"FY URL missing #foundationyear",IF(M351="","Missing display status",IF(N351="","Missing review date",IF(O351="","Missing owner",IF(P351="","Missing change note","OK")))))))))))))</x:f>
        <x:v>OK</x:v>
      </x:c>
    </x:row>
    <x:row r="352">
      <x:c r="A352" s="33" t="str">
        <x:v>2026-radiographydiagnosticimaging-FY</x:v>
      </x:c>
      <x:c r="B352" s="37" t="n">
        <x:v>2026</x:v>
      </x:c>
      <x:c r="C352" s="35" t="str">
        <x:v>Radiography (Diagnostic Imaging) with Foundation Year</x:v>
      </x:c>
      <x:c r="D352" s="33" t="str">
        <x:v>Foundation year</x:v>
      </x:c>
      <x:c r="E352" s="33" t="str">
        <x:v>Waiting list</x:v>
      </x:c>
      <x:c r="F352" s="33" t="str"/>
      <x:c r="G352" s="33" t="str"/>
      <x:c r="H352" s="35" t="str">
        <x:v>96 UCAS tariff points</x:v>
      </x:c>
      <x:c r="I352" s="35" t="str">
        <x:v>No</x:v>
      </x:c>
      <x:c r="J352" s="35" t="str">
        <x:v>Foundation Year requirements vary by course. View the full course details or call 01782 491120 to discuss your qualifications.</x:v>
      </x:c>
      <x:c r="K352" s="35" t="str">
        <x:v>https://www.keele.ac.uk/clearing/entry-requirements/</x:v>
      </x:c>
      <x:c r="L352" s="35" t="str">
        <x:v>https://www.keele.ac.uk/study/undergraduate-2026/undergraduatecourses/radiographydiagnosticimaging/#foundationyear</x:v>
      </x:c>
      <x:c r="M352" s="33" t="str">
        <x:v>Yes</x:v>
      </x:c>
      <x:c r="N352" s="38" t="n">
        <x:v>46195</x:v>
      </x:c>
      <x:c r="O352" s="35" t="str">
        <x:v>Clearing content team</x:v>
      </x:c>
      <x:c r="P352" s="35" t="str">
        <x:v>Initial import from Clearing vacancies and ER page for 2026.docx</x:v>
      </x:c>
      <x:c r="Q352" s="36" t="str">
        <x:f>IF(A352="","Missing ID",IF(COUNTIF($A$5:$A$1000,A352)&gt;1,"Duplicate ID",IF(C352="","Missing title",IF(D352="","Missing type",IF(E352="","Missing availability",IF(H352="","Missing offer",IF(L352="","Missing course URL",IF(ISERROR(SEARCH("https://www.keele.ac.uk/",L352)),"Non-Keele URL",IF(AND(D352="Foundation year",ISERROR(SEARCH("#foundationyear",L352))),"FY URL missing #foundationyear",IF(M352="","Missing display status",IF(N352="","Missing review date",IF(O352="","Missing owner",IF(P352="","Missing change note","OK")))))))))))))</x:f>
        <x:v>OK</x:v>
      </x:c>
    </x:row>
    <x:row r="353">
      <x:c r="A353" s="33" t="str">
        <x:v>2026-B900-UG</x:v>
      </x:c>
      <x:c r="B353" s="37" t="n">
        <x:v>2026</x:v>
      </x:c>
      <x:c r="C353" s="35" t="str">
        <x:v>Rehabilitation and Exercise Science</x:v>
      </x:c>
      <x:c r="D353" s="33" t="str">
        <x:v>Undergraduate</x:v>
      </x:c>
      <x:c r="E353" s="33" t="str">
        <x:v>Vacancies</x:v>
      </x:c>
      <x:c r="F353" s="33" t="str">
        <x:v>B900</x:v>
      </x:c>
      <x:c r="G353" s="33" t="str">
        <x:v>BSc (Hons)</x:v>
      </x:c>
      <x:c r="H353" s="35" t="str">
        <x:v>64 UCAS tariff points</x:v>
      </x:c>
      <x:c r="I353" s="35" t="str">
        <x:v>Yes</x:v>
      </x:c>
      <x:c r="J353" s="35" t="str">
        <x:v>This course has additional subject-specific requirements. View the full course details or contact Admissions before applying.</x:v>
      </x:c>
      <x:c r="K353" s="35" t="str">
        <x:v>https://www.keele.ac.uk/clearing/entry-requirements/</x:v>
      </x:c>
      <x:c r="L353" s="35" t="str">
        <x:v>https://www.keele.ac.uk/study/undergraduate-2026/undergraduatecourses/rehabilitationandexercisescience/</x:v>
      </x:c>
      <x:c r="M353" s="33" t="str">
        <x:v>Yes</x:v>
      </x:c>
      <x:c r="N353" s="38" t="n">
        <x:v>46195</x:v>
      </x:c>
      <x:c r="O353" s="35" t="str">
        <x:v>Clearing content team</x:v>
      </x:c>
      <x:c r="P353" s="35" t="str">
        <x:v>Initial import from Clearing vacancies and ER page for 2026.docx</x:v>
      </x:c>
      <x:c r="Q353" s="36" t="str">
        <x:f>IF(A353="","Missing ID",IF(COUNTIF($A$5:$A$1000,A353)&gt;1,"Duplicate ID",IF(C353="","Missing title",IF(D353="","Missing type",IF(E353="","Missing availability",IF(H353="","Missing offer",IF(L353="","Missing course URL",IF(ISERROR(SEARCH("https://www.keele.ac.uk/",L353)),"Non-Keele URL",IF(AND(D353="Foundation year",ISERROR(SEARCH("#foundationyear",L353))),"FY URL missing #foundationyear",IF(M353="","Missing display status",IF(N353="","Missing review date",IF(O353="","Missing owner",IF(P353="","Missing change note","OK")))))))))))))</x:f>
        <x:v>OK</x:v>
      </x:c>
    </x:row>
    <x:row r="354">
      <x:c r="A354" s="33" t="str">
        <x:v>2026-rehabilitationandexercisescience-FY</x:v>
      </x:c>
      <x:c r="B354" s="37" t="n">
        <x:v>2026</x:v>
      </x:c>
      <x:c r="C354" s="35" t="str">
        <x:v>Rehabilitation and Exercise Science with Foundation Year</x:v>
      </x:c>
      <x:c r="D354" s="33" t="str">
        <x:v>Foundation year</x:v>
      </x:c>
      <x:c r="E354" s="33" t="str">
        <x:v>Vacancies</x:v>
      </x:c>
      <x:c r="F354" s="33" t="str"/>
      <x:c r="G354" s="33" t="str"/>
      <x:c r="H354" s="35" t="str">
        <x:v>Course-specific</x:v>
      </x:c>
      <x:c r="I354" s="35" t="str">
        <x:v>No</x:v>
      </x:c>
      <x:c r="J354" s="35" t="str">
        <x:v>Foundation Year requirements vary by course. View the full course details or call 01782 491120 to discuss your qualifications.</x:v>
      </x:c>
      <x:c r="K354" s="35" t="str">
        <x:v>https://www.keele.ac.uk/clearing/entry-requirements/</x:v>
      </x:c>
      <x:c r="L354" s="35" t="str">
        <x:v>https://www.keele.ac.uk/study/undergraduate-2026/undergraduatecourses/rehabilitationandexercisescience/#foundationyear</x:v>
      </x:c>
      <x:c r="M354" s="33" t="str">
        <x:v>Yes</x:v>
      </x:c>
      <x:c r="N354" s="38" t="n">
        <x:v>46195</x:v>
      </x:c>
      <x:c r="O354" s="35" t="str">
        <x:v>Clearing content team</x:v>
      </x:c>
      <x:c r="P354" s="35" t="str">
        <x:v>Initial import from Clearing vacancies and ER page for 2026.docx</x:v>
      </x:c>
      <x:c r="Q354" s="36" t="str">
        <x:f>IF(A354="","Missing ID",IF(COUNTIF($A$5:$A$1000,A354)&gt;1,"Duplicate ID",IF(C354="","Missing title",IF(D354="","Missing type",IF(E354="","Missing availability",IF(H354="","Missing offer",IF(L354="","Missing course URL",IF(ISERROR(SEARCH("https://www.keele.ac.uk/",L354)),"Non-Keele URL",IF(AND(D354="Foundation year",ISERROR(SEARCH("#foundationyear",L354))),"FY URL missing #foundationyear",IF(M354="","Missing display status",IF(N354="","Missing review date",IF(O354="","Missing owner",IF(P354="","Missing change note","OK")))))))))))))</x:f>
        <x:v>OK</x:v>
      </x:c>
    </x:row>
    <x:row r="355">
      <x:c r="A355" s="33" t="str">
        <x:v>2026-L400-UG</x:v>
      </x:c>
      <x:c r="B355" s="37" t="n">
        <x:v>2026</x:v>
      </x:c>
      <x:c r="C355" s="35" t="str">
        <x:v>Social Sciences</x:v>
      </x:c>
      <x:c r="D355" s="33" t="str">
        <x:v>Undergraduate</x:v>
      </x:c>
      <x:c r="E355" s="33" t="str">
        <x:v>Vacancies</x:v>
      </x:c>
      <x:c r="F355" s="33" t="str">
        <x:v>L400</x:v>
      </x:c>
      <x:c r="G355" s="33" t="str">
        <x:v>BSc (Hons)</x:v>
      </x:c>
      <x:c r="H355" s="35" t="str">
        <x:v>64 UCAS tariff points</x:v>
      </x:c>
      <x:c r="I355" s="35" t="str">
        <x:v>No</x:v>
      </x:c>
      <x:c r="J355" s="35" t="str">
        <x:v>Most undergraduate courses require GCSE English Language at grade 4/C or equivalent. Some courses also require GCSE Mathematics at grade 4/C or equivalent.</x:v>
      </x:c>
      <x:c r="K355" s="35" t="str">
        <x:v>https://www.keele.ac.uk/clearing/entry-requirements/</x:v>
      </x:c>
      <x:c r="L355" s="35" t="str">
        <x:v>https://www.keele.ac.uk/study/undergraduate-2026/undergraduatecourses/socialsciences/</x:v>
      </x:c>
      <x:c r="M355" s="33" t="str">
        <x:v>Yes</x:v>
      </x:c>
      <x:c r="N355" s="38" t="n">
        <x:v>46195</x:v>
      </x:c>
      <x:c r="O355" s="35" t="str">
        <x:v>Clearing content team</x:v>
      </x:c>
      <x:c r="P355" s="35" t="str">
        <x:v>Initial import from Clearing vacancies and ER page for 2026.docx</x:v>
      </x:c>
      <x:c r="Q355" s="36" t="str">
        <x:f>IF(A355="","Missing ID",IF(COUNTIF($A$5:$A$1000,A355)&gt;1,"Duplicate ID",IF(C355="","Missing title",IF(D355="","Missing type",IF(E355="","Missing availability",IF(H355="","Missing offer",IF(L355="","Missing course URL",IF(ISERROR(SEARCH("https://www.keele.ac.uk/",L355)),"Non-Keele URL",IF(AND(D355="Foundation year",ISERROR(SEARCH("#foundationyear",L355))),"FY URL missing #foundationyear",IF(M355="","Missing display status",IF(N355="","Missing review date",IF(O355="","Missing owner",IF(P355="","Missing change note","OK")))))))))))))</x:f>
        <x:v>OK</x:v>
      </x:c>
    </x:row>
    <x:row r="356">
      <x:c r="A356" s="33" t="str">
        <x:v>2026-socialsciences-FY</x:v>
      </x:c>
      <x:c r="B356" s="37" t="n">
        <x:v>2026</x:v>
      </x:c>
      <x:c r="C356" s="35" t="str">
        <x:v>Social Sciences with Foundation Year</x:v>
      </x:c>
      <x:c r="D356" s="33" t="str">
        <x:v>Foundation year</x:v>
      </x:c>
      <x:c r="E356" s="33" t="str">
        <x:v>Vacancies</x:v>
      </x:c>
      <x:c r="F356" s="33" t="str"/>
      <x:c r="G356" s="33" t="str"/>
      <x:c r="H356" s="35" t="str">
        <x:v>Course-specific</x:v>
      </x:c>
      <x:c r="I356" s="35" t="str">
        <x:v>No</x:v>
      </x:c>
      <x:c r="J356" s="35" t="str">
        <x:v>Foundation Year requirements vary by course. View the full course details or call 01782 491120 to discuss your qualifications.</x:v>
      </x:c>
      <x:c r="K356" s="35" t="str">
        <x:v>https://www.keele.ac.uk/clearing/entry-requirements/</x:v>
      </x:c>
      <x:c r="L356" s="35" t="str">
        <x:v>https://www.keele.ac.uk/study/undergraduate-2026/undergraduatecourses/socialsciences/#foundationyear</x:v>
      </x:c>
      <x:c r="M356" s="33" t="str">
        <x:v>Yes</x:v>
      </x:c>
      <x:c r="N356" s="38" t="n">
        <x:v>46195</x:v>
      </x:c>
      <x:c r="O356" s="35" t="str">
        <x:v>Clearing content team</x:v>
      </x:c>
      <x:c r="P356" s="35" t="str">
        <x:v>Initial import from Clearing vacancies and ER page for 2026.docx</x:v>
      </x:c>
      <x:c r="Q356" s="36" t="str">
        <x:f>IF(A356="","Missing ID",IF(COUNTIF($A$5:$A$1000,A356)&gt;1,"Duplicate ID",IF(C356="","Missing title",IF(D356="","Missing type",IF(E356="","Missing availability",IF(H356="","Missing offer",IF(L356="","Missing course URL",IF(ISERROR(SEARCH("https://www.keele.ac.uk/",L356)),"Non-Keele URL",IF(AND(D356="Foundation year",ISERROR(SEARCH("#foundationyear",L356))),"FY URL missing #foundationyear",IF(M356="","Missing display status",IF(N356="","Missing review date",IF(O356="","Missing owner",IF(P356="","Missing change note","OK")))))))))))))</x:f>
        <x:v>OK</x:v>
      </x:c>
    </x:row>
    <x:row r="357">
      <x:c r="A357" s="33" t="str">
        <x:v>2026-L500-UG</x:v>
      </x:c>
      <x:c r="B357" s="37" t="n">
        <x:v>2026</x:v>
      </x:c>
      <x:c r="C357" s="35" t="str">
        <x:v>Social Work</x:v>
      </x:c>
      <x:c r="D357" s="33" t="str">
        <x:v>Undergraduate</x:v>
      </x:c>
      <x:c r="E357" s="33" t="str">
        <x:v>Waiting list</x:v>
      </x:c>
      <x:c r="F357" s="33" t="str">
        <x:v>L500</x:v>
      </x:c>
      <x:c r="G357" s="33" t="str">
        <x:v>BA (Hons)</x:v>
      </x:c>
      <x:c r="H357" s="35" t="str">
        <x:v>96 UCAS tariff points</x:v>
      </x:c>
      <x:c r="I357" s="35" t="str">
        <x:v>Yes</x:v>
      </x:c>
      <x:c r="J357" s="35" t="str">
        <x:v>This course has additional subject-specific requirements. View the full course details or contact Admissions before applying.</x:v>
      </x:c>
      <x:c r="K357" s="35" t="str">
        <x:v>https://www.keele.ac.uk/clearing/entry-requirements/</x:v>
      </x:c>
      <x:c r="L357" s="35" t="str">
        <x:v>https://www.keele.ac.uk/study/undergraduate-2026/undergraduatecourses/socialwork/</x:v>
      </x:c>
      <x:c r="M357" s="33" t="str">
        <x:v>Yes</x:v>
      </x:c>
      <x:c r="N357" s="38" t="n">
        <x:v>46195</x:v>
      </x:c>
      <x:c r="O357" s="35" t="str">
        <x:v>Clearing content team</x:v>
      </x:c>
      <x:c r="P357" s="35" t="str">
        <x:v>Initial import from Clearing vacancies and ER page for 2026.docx</x:v>
      </x:c>
      <x:c r="Q357" s="36" t="str">
        <x:f>IF(A357="","Missing ID",IF(COUNTIF($A$5:$A$1000,A357)&gt;1,"Duplicate ID",IF(C357="","Missing title",IF(D357="","Missing type",IF(E357="","Missing availability",IF(H357="","Missing offer",IF(L357="","Missing course URL",IF(ISERROR(SEARCH("https://www.keele.ac.uk/",L357)),"Non-Keele URL",IF(AND(D357="Foundation year",ISERROR(SEARCH("#foundationyear",L357))),"FY URL missing #foundationyear",IF(M357="","Missing display status",IF(N357="","Missing review date",IF(O357="","Missing owner",IF(P357="","Missing change note","OK")))))))))))))</x:f>
        <x:v>OK</x:v>
      </x:c>
    </x:row>
    <x:row r="358">
      <x:c r="A358" s="33" t="str">
        <x:v>2026-socialwork-FY</x:v>
      </x:c>
      <x:c r="B358" s="37" t="n">
        <x:v>2026</x:v>
      </x:c>
      <x:c r="C358" s="35" t="str">
        <x:v>Social Work with Foundation Year</x:v>
      </x:c>
      <x:c r="D358" s="33" t="str">
        <x:v>Foundation year</x:v>
      </x:c>
      <x:c r="E358" s="33" t="str">
        <x:v>Vacancies</x:v>
      </x:c>
      <x:c r="F358" s="33" t="str"/>
      <x:c r="G358" s="33" t="str"/>
      <x:c r="H358" s="35" t="str">
        <x:v>40 UCAS tariff points</x:v>
      </x:c>
      <x:c r="I358" s="35" t="str">
        <x:v>No</x:v>
      </x:c>
      <x:c r="J358" s="35" t="str">
        <x:v>Foundation Year requirements vary by course. View the full course details or call 01782 491120 to discuss your qualifications.</x:v>
      </x:c>
      <x:c r="K358" s="35" t="str">
        <x:v>https://www.keele.ac.uk/clearing/entry-requirements/</x:v>
      </x:c>
      <x:c r="L358" s="35" t="str">
        <x:v>https://www.keele.ac.uk/study/undergraduate-2026/undergraduatecourses/socialwork/#foundationyear</x:v>
      </x:c>
      <x:c r="M358" s="33" t="str">
        <x:v>Yes</x:v>
      </x:c>
      <x:c r="N358" s="38" t="n">
        <x:v>46195</x:v>
      </x:c>
      <x:c r="O358" s="35" t="str">
        <x:v>Clearing content team</x:v>
      </x:c>
      <x:c r="P358" s="35" t="str">
        <x:v>Initial import from Clearing vacancies and ER page for 2026.docx</x:v>
      </x:c>
      <x:c r="Q358" s="36" t="str">
        <x:f>IF(A358="","Missing ID",IF(COUNTIF($A$5:$A$1000,A358)&gt;1,"Duplicate ID",IF(C358="","Missing title",IF(D358="","Missing type",IF(E358="","Missing availability",IF(H358="","Missing offer",IF(L358="","Missing course URL",IF(ISERROR(SEARCH("https://www.keele.ac.uk/",L358)),"Non-Keele URL",IF(AND(D358="Foundation year",ISERROR(SEARCH("#foundationyear",L358))),"FY URL missing #foundationyear",IF(M358="","Missing display status",IF(N358="","Missing review date",IF(O358="","Missing owner",IF(P358="","Missing change note","OK")))))))))))))</x:f>
        <x:v>OK</x:v>
      </x:c>
    </x:row>
    <x:row r="359">
      <x:c r="A359" s="33" t="str">
        <x:v>2026-L30L-UG</x:v>
      </x:c>
      <x:c r="B359" s="37" t="n">
        <x:v>2026</x:v>
      </x:c>
      <x:c r="C359" s="35" t="str">
        <x:v>Sociology</x:v>
      </x:c>
      <x:c r="D359" s="33" t="str">
        <x:v>Undergraduate</x:v>
      </x:c>
      <x:c r="E359" s="33" t="str">
        <x:v>Vacancies</x:v>
      </x:c>
      <x:c r="F359" s="33" t="str">
        <x:v>L30L</x:v>
      </x:c>
      <x:c r="G359" s="33" t="str">
        <x:v>BA (Hons)</x:v>
      </x:c>
      <x:c r="H359" s="35" t="str">
        <x:v>64 UCAS tariff points</x:v>
      </x:c>
      <x:c r="I359" s="35" t="str">
        <x:v>No</x:v>
      </x:c>
      <x:c r="J359" s="35" t="str">
        <x:v>Most undergraduate courses require GCSE English Language at grade 4/C or equivalent. Some courses also require GCSE Mathematics at grade 4/C or equivalent.</x:v>
      </x:c>
      <x:c r="K359" s="35" t="str">
        <x:v>https://www.keele.ac.uk/clearing/entry-requirements/</x:v>
      </x:c>
      <x:c r="L359" s="35" t="str">
        <x:v>https://www.keele.ac.uk/study/undergraduate-2026/undergraduatecourses/sociology/</x:v>
      </x:c>
      <x:c r="M359" s="33" t="str">
        <x:v>Yes</x:v>
      </x:c>
      <x:c r="N359" s="38" t="n">
        <x:v>46195</x:v>
      </x:c>
      <x:c r="O359" s="35" t="str">
        <x:v>Clearing content team</x:v>
      </x:c>
      <x:c r="P359" s="35" t="str">
        <x:v>Initial import from Clearing vacancies and ER page for 2026.docx</x:v>
      </x:c>
      <x:c r="Q359" s="36" t="str">
        <x:f>IF(A359="","Missing ID",IF(COUNTIF($A$5:$A$1000,A359)&gt;1,"Duplicate ID",IF(C359="","Missing title",IF(D359="","Missing type",IF(E359="","Missing availability",IF(H359="","Missing offer",IF(L359="","Missing course URL",IF(ISERROR(SEARCH("https://www.keele.ac.uk/",L359)),"Non-Keele URL",IF(AND(D359="Foundation year",ISERROR(SEARCH("#foundationyear",L359))),"FY URL missing #foundationyear",IF(M359="","Missing display status",IF(N359="","Missing review date",IF(O359="","Missing owner",IF(P359="","Missing change note","OK")))))))))))))</x:f>
        <x:v>OK</x:v>
      </x:c>
    </x:row>
    <x:row r="360">
      <x:c r="A360" s="33" t="str">
        <x:v>2026-sociology-FY</x:v>
      </x:c>
      <x:c r="B360" s="37" t="n">
        <x:v>2026</x:v>
      </x:c>
      <x:c r="C360" s="35" t="str">
        <x:v>Sociology with Foundation Year</x:v>
      </x:c>
      <x:c r="D360" s="33" t="str">
        <x:v>Foundation year</x:v>
      </x:c>
      <x:c r="E360" s="33" t="str">
        <x:v>Vacancies</x:v>
      </x:c>
      <x:c r="F360" s="33" t="str"/>
      <x:c r="G360" s="33" t="str"/>
      <x:c r="H360" s="35" t="str">
        <x:v>Course-specific</x:v>
      </x:c>
      <x:c r="I360" s="35" t="str">
        <x:v>No</x:v>
      </x:c>
      <x:c r="J360" s="35" t="str">
        <x:v>Foundation Year requirements vary by course. View the full course details or call 01782 491120 to discuss your qualifications.</x:v>
      </x:c>
      <x:c r="K360" s="35" t="str">
        <x:v>https://www.keele.ac.uk/clearing/entry-requirements/</x:v>
      </x:c>
      <x:c r="L360" s="35" t="str">
        <x:v>https://www.keele.ac.uk/study/undergraduate-2026/undergraduatecourses/sociology/#foundationyear</x:v>
      </x:c>
      <x:c r="M360" s="33" t="str">
        <x:v>Yes</x:v>
      </x:c>
      <x:c r="N360" s="38" t="n">
        <x:v>46195</x:v>
      </x:c>
      <x:c r="O360" s="35" t="str">
        <x:v>Clearing content team</x:v>
      </x:c>
      <x:c r="P360" s="35" t="str">
        <x:v>Initial import from Clearing vacancies and ER page for 2026.docx</x:v>
      </x:c>
      <x:c r="Q360" s="36" t="str">
        <x:f>IF(A360="","Missing ID",IF(COUNTIF($A$5:$A$1000,A360)&gt;1,"Duplicate ID",IF(C360="","Missing title",IF(D360="","Missing type",IF(E360="","Missing availability",IF(H360="","Missing offer",IF(L360="","Missing course URL",IF(ISERROR(SEARCH("https://www.keele.ac.uk/",L360)),"Non-Keele URL",IF(AND(D360="Foundation year",ISERROR(SEARCH("#foundationyear",L360))),"FY URL missing #foundationyear",IF(M360="","Missing display status",IF(N360="","Missing review date",IF(O360="","Missing owner",IF(P360="","Missing change note","OK")))))))))))))</x:f>
        <x:v>OK</x:v>
      </x:c>
    </x:row>
    <x:row r="361">
      <x:c r="A361" s="33" t="str">
        <x:v>2026-B620-UG</x:v>
      </x:c>
      <x:c r="B361" s="37" t="n">
        <x:v>2026</x:v>
      </x:c>
      <x:c r="C361" s="35" t="str">
        <x:v>Speech and Language Therapy with Integrated Master's (pre-registration)</x:v>
      </x:c>
      <x:c r="D361" s="33" t="str">
        <x:v>Undergraduate</x:v>
      </x:c>
      <x:c r="E361" s="33" t="str">
        <x:v>Limited vacancies</x:v>
      </x:c>
      <x:c r="F361" s="33" t="str">
        <x:v>B620</x:v>
      </x:c>
      <x:c r="G361" s="33" t="str">
        <x:v>MSci</x:v>
      </x:c>
      <x:c r="H361" s="35" t="str">
        <x:v>120 UCAS tariff points</x:v>
      </x:c>
      <x:c r="I361" s="35" t="str">
        <x:v>Yes</x:v>
      </x:c>
      <x:c r="J361" s="35" t="str">
        <x:v>This course has additional subject-specific requirements. View the full course details or contact Admissions before applying.</x:v>
      </x:c>
      <x:c r="K361" s="35" t="str">
        <x:v>https://www.keele.ac.uk/clearing/entry-requirements/</x:v>
      </x:c>
      <x:c r="L361" s="35" t="str">
        <x:v>https://www.keele.ac.uk/study/undergraduate-2026/undergraduatecourses/speech-language-therapy-prereg/</x:v>
      </x:c>
      <x:c r="M361" s="33" t="str">
        <x:v>Yes</x:v>
      </x:c>
      <x:c r="N361" s="38" t="n">
        <x:v>46195</x:v>
      </x:c>
      <x:c r="O361" s="35" t="str">
        <x:v>Clearing content team</x:v>
      </x:c>
      <x:c r="P361" s="35" t="str">
        <x:v>Initial import from Clearing vacancies and ER page for 2026.docx</x:v>
      </x:c>
      <x:c r="Q361" s="36" t="str">
        <x:f>IF(A361="","Missing ID",IF(COUNTIF($A$5:$A$1000,A361)&gt;1,"Duplicate ID",IF(C361="","Missing title",IF(D361="","Missing type",IF(E361="","Missing availability",IF(H361="","Missing offer",IF(L361="","Missing course URL",IF(ISERROR(SEARCH("https://www.keele.ac.uk/",L361)),"Non-Keele URL",IF(AND(D361="Foundation year",ISERROR(SEARCH("#foundationyear",L361))),"FY URL missing #foundationyear",IF(M361="","Missing display status",IF(N361="","Missing review date",IF(O361="","Missing owner",IF(P361="","Missing change note","OK")))))))))))))</x:f>
        <x:v>OK</x:v>
      </x:c>
    </x:row>
    <x:row r="362">
      <x:c r="A362" s="33" t="str">
        <x:v>2026-speech-language-therapy-prereg-FY</x:v>
      </x:c>
      <x:c r="B362" s="37" t="n">
        <x:v>2026</x:v>
      </x:c>
      <x:c r="C362" s="35" t="str">
        <x:v>Speech and Language Therapy with Integrated Master's (pre-registration) with Foundation Year</x:v>
      </x:c>
      <x:c r="D362" s="33" t="str">
        <x:v>Foundation year</x:v>
      </x:c>
      <x:c r="E362" s="33" t="str">
        <x:v>Waiting list</x:v>
      </x:c>
      <x:c r="F362" s="33" t="str"/>
      <x:c r="G362" s="33" t="str"/>
      <x:c r="H362" s="35" t="str">
        <x:v>56 UCAS tariff points</x:v>
      </x:c>
      <x:c r="I362" s="35" t="str">
        <x:v>No</x:v>
      </x:c>
      <x:c r="J362" s="35" t="str">
        <x:v>Foundation Year requirements vary by course. View the full course details or call 01782 491120 to discuss your qualifications.</x:v>
      </x:c>
      <x:c r="K362" s="35" t="str">
        <x:v>https://www.keele.ac.uk/clearing/entry-requirements/</x:v>
      </x:c>
      <x:c r="L362" s="35" t="str">
        <x:v>https://www.keele.ac.uk/study/undergraduate-2026/undergraduatecourses/speech-language-therapy-prereg/#foundationyear</x:v>
      </x:c>
      <x:c r="M362" s="33" t="str">
        <x:v>Yes</x:v>
      </x:c>
      <x:c r="N362" s="38" t="n">
        <x:v>46195</x:v>
      </x:c>
      <x:c r="O362" s="35" t="str">
        <x:v>Clearing content team</x:v>
      </x:c>
      <x:c r="P362" s="35" t="str">
        <x:v>Initial import from Clearing vacancies and ER page for 2026.docx</x:v>
      </x:c>
      <x:c r="Q362" s="36" t="str">
        <x:f>IF(A362="","Missing ID",IF(COUNTIF($A$5:$A$1000,A362)&gt;1,"Duplicate ID",IF(C362="","Missing title",IF(D362="","Missing type",IF(E362="","Missing availability",IF(H362="","Missing offer",IF(L362="","Missing course URL",IF(ISERROR(SEARCH("https://www.keele.ac.uk/",L362)),"Non-Keele URL",IF(AND(D362="Foundation year",ISERROR(SEARCH("#foundationyear",L362))),"FY URL missing #foundationyear",IF(M362="","Missing display status",IF(N362="","Missing review date",IF(O362="","Missing owner",IF(P362="","Missing change note","OK")))))))))))))</x:f>
        <x:v>OK</x:v>
      </x:c>
    </x:row>
    <x:row r="363">
      <x:c r="A363" s="33" t="str">
        <x:v>2026-C813-UG</x:v>
      </x:c>
      <x:c r="B363" s="37" t="n">
        <x:v>2026</x:v>
      </x:c>
      <x:c r="C363" s="35" t="str">
        <x:v>Sport and Exercise Psychology</x:v>
      </x:c>
      <x:c r="D363" s="33" t="str">
        <x:v>Undergraduate</x:v>
      </x:c>
      <x:c r="E363" s="33" t="str">
        <x:v>Vacancies</x:v>
      </x:c>
      <x:c r="F363" s="33" t="str">
        <x:v>C813</x:v>
      </x:c>
      <x:c r="G363" s="33" t="str">
        <x:v>BSc (Hons)</x:v>
      </x:c>
      <x:c r="H363" s="35" t="str">
        <x:v>64 UCAS tariff points</x:v>
      </x:c>
      <x:c r="I363" s="35" t="str">
        <x:v>No</x:v>
      </x:c>
      <x:c r="J363" s="35" t="str">
        <x:v>Most undergraduate courses require GCSE English Language at grade 4/C or equivalent. Some courses also require GCSE Mathematics at grade 4/C or equivalent.</x:v>
      </x:c>
      <x:c r="K363" s="35" t="str">
        <x:v>https://www.keele.ac.uk/clearing/entry-requirements/</x:v>
      </x:c>
      <x:c r="L363" s="35" t="str">
        <x:v>https://www.keele.ac.uk/study/undergraduate-2026/undergraduatecourses/sportandexercisepsychology/</x:v>
      </x:c>
      <x:c r="M363" s="33" t="str">
        <x:v>Yes</x:v>
      </x:c>
      <x:c r="N363" s="38" t="n">
        <x:v>46195</x:v>
      </x:c>
      <x:c r="O363" s="35" t="str">
        <x:v>Clearing content team</x:v>
      </x:c>
      <x:c r="P363" s="35" t="str">
        <x:v>Initial import from Clearing vacancies and ER page for 2026.docx</x:v>
      </x:c>
      <x:c r="Q363" s="36" t="str">
        <x:f>IF(A363="","Missing ID",IF(COUNTIF($A$5:$A$1000,A363)&gt;1,"Duplicate ID",IF(C363="","Missing title",IF(D363="","Missing type",IF(E363="","Missing availability",IF(H363="","Missing offer",IF(L363="","Missing course URL",IF(ISERROR(SEARCH("https://www.keele.ac.uk/",L363)),"Non-Keele URL",IF(AND(D363="Foundation year",ISERROR(SEARCH("#foundationyear",L363))),"FY URL missing #foundationyear",IF(M363="","Missing display status",IF(N363="","Missing review date",IF(O363="","Missing owner",IF(P363="","Missing change note","OK")))))))))))))</x:f>
        <x:v>OK</x:v>
      </x:c>
    </x:row>
    <x:row r="364">
      <x:c r="A364" s="33" t="str">
        <x:v>2026-sportandexercisepsychology-FY</x:v>
      </x:c>
      <x:c r="B364" s="37" t="n">
        <x:v>2026</x:v>
      </x:c>
      <x:c r="C364" s="35" t="str">
        <x:v>Sport and Exercise Psychology with Foundation Year</x:v>
      </x:c>
      <x:c r="D364" s="33" t="str">
        <x:v>Foundation year</x:v>
      </x:c>
      <x:c r="E364" s="33" t="str">
        <x:v>Vacancies</x:v>
      </x:c>
      <x:c r="F364" s="33" t="str"/>
      <x:c r="G364" s="33" t="str"/>
      <x:c r="H364" s="35" t="str">
        <x:v>Course-specific</x:v>
      </x:c>
      <x:c r="I364" s="35" t="str">
        <x:v>No</x:v>
      </x:c>
      <x:c r="J364" s="35" t="str">
        <x:v>Foundation Year requirements vary by course. View the full course details or call 01782 491120 to discuss your qualifications.</x:v>
      </x:c>
      <x:c r="K364" s="35" t="str">
        <x:v>https://www.keele.ac.uk/clearing/entry-requirements/</x:v>
      </x:c>
      <x:c r="L364" s="35" t="str">
        <x:v>https://www.keele.ac.uk/study/undergraduate-2026/undergraduatecourses/sportandexercisepsychology/#foundationyear</x:v>
      </x:c>
      <x:c r="M364" s="33" t="str">
        <x:v>Yes</x:v>
      </x:c>
      <x:c r="N364" s="38" t="n">
        <x:v>46195</x:v>
      </x:c>
      <x:c r="O364" s="35" t="str">
        <x:v>Clearing content team</x:v>
      </x:c>
      <x:c r="P364" s="35" t="str">
        <x:v>Initial import from Clearing vacancies and ER page for 2026.docx</x:v>
      </x:c>
      <x:c r="Q364" s="36" t="str">
        <x:f>IF(A364="","Missing ID",IF(COUNTIF($A$5:$A$1000,A364)&gt;1,"Duplicate ID",IF(C364="","Missing title",IF(D364="","Missing type",IF(E364="","Missing availability",IF(H364="","Missing offer",IF(L364="","Missing course URL",IF(ISERROR(SEARCH("https://www.keele.ac.uk/",L364)),"Non-Keele URL",IF(AND(D364="Foundation year",ISERROR(SEARCH("#foundationyear",L364))),"FY URL missing #foundationyear",IF(M364="","Missing display status",IF(N364="","Missing review date",IF(O364="","Missing owner",IF(P364="","Missing change note","OK")))))))))))))</x:f>
        <x:v>OK</x:v>
      </x:c>
    </x:row>
    <x:row r="365">
      <x:c r="A365" s="33" t="str">
        <x:v>2026-C600-UG</x:v>
      </x:c>
      <x:c r="B365" s="37" t="n">
        <x:v>2026</x:v>
      </x:c>
      <x:c r="C365" s="35" t="str">
        <x:v>Sport and Exercise Science</x:v>
      </x:c>
      <x:c r="D365" s="33" t="str">
        <x:v>Undergraduate</x:v>
      </x:c>
      <x:c r="E365" s="33" t="str">
        <x:v>Vacancies</x:v>
      </x:c>
      <x:c r="F365" s="33" t="str">
        <x:v>C600</x:v>
      </x:c>
      <x:c r="G365" s="33" t="str">
        <x:v>BSc (Hons)</x:v>
      </x:c>
      <x:c r="H365" s="35" t="str">
        <x:v>64 UCAS tariff points</x:v>
      </x:c>
      <x:c r="I365" s="35" t="str">
        <x:v>No</x:v>
      </x:c>
      <x:c r="J365" s="35" t="str">
        <x:v>Most undergraduate courses require GCSE English Language at grade 4/C or equivalent. Some courses also require GCSE Mathematics at grade 4/C or equivalent.</x:v>
      </x:c>
      <x:c r="K365" s="35" t="str">
        <x:v>https://www.keele.ac.uk/clearing/entry-requirements/</x:v>
      </x:c>
      <x:c r="L365" s="35" t="str">
        <x:v>https://www.keele.ac.uk/study/undergraduate-2026/undergraduatecourses/sportandexercisescience/</x:v>
      </x:c>
      <x:c r="M365" s="33" t="str">
        <x:v>Yes</x:v>
      </x:c>
      <x:c r="N365" s="38" t="n">
        <x:v>46195</x:v>
      </x:c>
      <x:c r="O365" s="35" t="str">
        <x:v>Clearing content team</x:v>
      </x:c>
      <x:c r="P365" s="35" t="str">
        <x:v>Initial import from Clearing vacancies and ER page for 2026.docx</x:v>
      </x:c>
      <x:c r="Q365" s="36" t="str">
        <x:f>IF(A365="","Missing ID",IF(COUNTIF($A$5:$A$1000,A365)&gt;1,"Duplicate ID",IF(C365="","Missing title",IF(D365="","Missing type",IF(E365="","Missing availability",IF(H365="","Missing offer",IF(L365="","Missing course URL",IF(ISERROR(SEARCH("https://www.keele.ac.uk/",L365)),"Non-Keele URL",IF(AND(D365="Foundation year",ISERROR(SEARCH("#foundationyear",L365))),"FY URL missing #foundationyear",IF(M365="","Missing display status",IF(N365="","Missing review date",IF(O365="","Missing owner",IF(P365="","Missing change note","OK")))))))))))))</x:f>
        <x:v>OK</x:v>
      </x:c>
    </x:row>
    <x:row r="366">
      <x:c r="A366" s="33" t="str">
        <x:v>2026-sportandexercisescience-FY</x:v>
      </x:c>
      <x:c r="B366" s="37" t="n">
        <x:v>2026</x:v>
      </x:c>
      <x:c r="C366" s="35" t="str">
        <x:v>Sport and Exercise Science with Foundation Year</x:v>
      </x:c>
      <x:c r="D366" s="33" t="str">
        <x:v>Foundation year</x:v>
      </x:c>
      <x:c r="E366" s="33" t="str">
        <x:v>Vacancies</x:v>
      </x:c>
      <x:c r="F366" s="33" t="str"/>
      <x:c r="G366" s="33" t="str"/>
      <x:c r="H366" s="35" t="str">
        <x:v>Course-specific</x:v>
      </x:c>
      <x:c r="I366" s="35" t="str">
        <x:v>No</x:v>
      </x:c>
      <x:c r="J366" s="35" t="str">
        <x:v>Foundation Year requirements vary by course. View the full course details or call 01782 491120 to discuss your qualifications.</x:v>
      </x:c>
      <x:c r="K366" s="35" t="str">
        <x:v>https://www.keele.ac.uk/clearing/entry-requirements/</x:v>
      </x:c>
      <x:c r="L366" s="35" t="str">
        <x:v>https://www.keele.ac.uk/study/undergraduate-2026/undergraduatecourses/sportandexercisescience/#foundationyear</x:v>
      </x:c>
      <x:c r="M366" s="33" t="str">
        <x:v>Yes</x:v>
      </x:c>
      <x:c r="N366" s="38" t="n">
        <x:v>46195</x:v>
      </x:c>
      <x:c r="O366" s="35" t="str">
        <x:v>Clearing content team</x:v>
      </x:c>
      <x:c r="P366" s="35" t="str">
        <x:v>Initial import from Clearing vacancies and ER page for 2026.docx</x:v>
      </x:c>
      <x:c r="Q366" s="36" t="str">
        <x:f>IF(A366="","Missing ID",IF(COUNTIF($A$5:$A$1000,A366)&gt;1,"Duplicate ID",IF(C366="","Missing title",IF(D366="","Missing type",IF(E366="","Missing availability",IF(H366="","Missing offer",IF(L366="","Missing course URL",IF(ISERROR(SEARCH("https://www.keele.ac.uk/",L366)),"Non-Keele URL",IF(AND(D366="Foundation year",ISERROR(SEARCH("#foundationyear",L366))),"FY URL missing #foundationyear",IF(M366="","Missing display status",IF(N366="","Missing review date",IF(O366="","Missing owner",IF(P366="","Missing change note","OK")))))))))))))</x:f>
        <x:v>OK</x:v>
      </x:c>
    </x:row>
    <x:row r="367">
      <x:c r="A367" s="33" t="str">
        <x:v>2026-sportsbusinessmanagement-UG</x:v>
      </x:c>
      <x:c r="B367" s="37" t="n">
        <x:v>2026</x:v>
      </x:c>
      <x:c r="C367" s="35" t="str">
        <x:v>Sports Business Management</x:v>
      </x:c>
      <x:c r="D367" s="33" t="str">
        <x:v>Undergraduate</x:v>
      </x:c>
      <x:c r="E367" s="33" t="str">
        <x:v>Vacancies</x:v>
      </x:c>
      <x:c r="F367" s="33" t="str"/>
      <x:c r="G367" s="33" t="str"/>
      <x:c r="H367" s="35" t="str">
        <x:v>64 UCAS tariff points</x:v>
      </x:c>
      <x:c r="I367" s="35" t="str">
        <x:v>No</x:v>
      </x:c>
      <x:c r="J367" s="35" t="str">
        <x:v>Most undergraduate courses require GCSE English Language at grade 4/C or equivalent. Some courses also require GCSE Mathematics at grade 4/C or equivalent.</x:v>
      </x:c>
      <x:c r="K367" s="35" t="str">
        <x:v>https://www.keele.ac.uk/clearing/entry-requirements/</x:v>
      </x:c>
      <x:c r="L367" s="35" t="str">
        <x:v>https://www.keele.ac.uk/study/undergraduate-2026/undergraduatecourses/sportsbusinessmanagement/</x:v>
      </x:c>
      <x:c r="M367" s="33" t="str">
        <x:v>Yes</x:v>
      </x:c>
      <x:c r="N367" s="38" t="n">
        <x:v>46195</x:v>
      </x:c>
      <x:c r="O367" s="35" t="str">
        <x:v>Clearing content team</x:v>
      </x:c>
      <x:c r="P367" s="35" t="str">
        <x:v>Initial import from Clearing vacancies and ER page for 2026.docx</x:v>
      </x:c>
      <x:c r="Q367" s="36" t="str">
        <x:f>IF(A367="","Missing ID",IF(COUNTIF($A$5:$A$1000,A367)&gt;1,"Duplicate ID",IF(C367="","Missing title",IF(D367="","Missing type",IF(E367="","Missing availability",IF(H367="","Missing offer",IF(L367="","Missing course URL",IF(ISERROR(SEARCH("https://www.keele.ac.uk/",L367)),"Non-Keele URL",IF(AND(D367="Foundation year",ISERROR(SEARCH("#foundationyear",L367))),"FY URL missing #foundationyear",IF(M367="","Missing display status",IF(N367="","Missing review date",IF(O367="","Missing owner",IF(P367="","Missing change note","OK")))))))))))))</x:f>
        <x:v>OK</x:v>
      </x:c>
    </x:row>
    <x:row r="368">
      <x:c r="A368" s="33" t="str">
        <x:v>2026-sportsbusinessmanagement-FY</x:v>
      </x:c>
      <x:c r="B368" s="37" t="n">
        <x:v>2026</x:v>
      </x:c>
      <x:c r="C368" s="35" t="str">
        <x:v>Sports Business Management with Foundation Year</x:v>
      </x:c>
      <x:c r="D368" s="33" t="str">
        <x:v>Foundation year</x:v>
      </x:c>
      <x:c r="E368" s="33" t="str">
        <x:v>Vacancies</x:v>
      </x:c>
      <x:c r="F368" s="33" t="str"/>
      <x:c r="G368" s="33" t="str"/>
      <x:c r="H368" s="35" t="str">
        <x:v>Course-specific</x:v>
      </x:c>
      <x:c r="I368" s="35" t="str">
        <x:v>No</x:v>
      </x:c>
      <x:c r="J368" s="35" t="str">
        <x:v>Foundation Year requirements vary by course. View the full course details or call 01782 491120 to discuss your qualifications.</x:v>
      </x:c>
      <x:c r="K368" s="35" t="str">
        <x:v>https://www.keele.ac.uk/clearing/entry-requirements/</x:v>
      </x:c>
      <x:c r="L368" s="35" t="str">
        <x:v>https://www.keele.ac.uk/study/undergraduate-2026/undergraduatecourses/sportsbusinessmanagement/#foundationyear</x:v>
      </x:c>
      <x:c r="M368" s="33" t="str">
        <x:v>Yes</x:v>
      </x:c>
      <x:c r="N368" s="38" t="n">
        <x:v>46195</x:v>
      </x:c>
      <x:c r="O368" s="35" t="str">
        <x:v>Clearing content team</x:v>
      </x:c>
      <x:c r="P368" s="35" t="str">
        <x:v>Initial import from Clearing vacancies and ER page for 2026.docx</x:v>
      </x:c>
      <x:c r="Q368" s="36" t="str">
        <x:f>IF(A368="","Missing ID",IF(COUNTIF($A$5:$A$1000,A368)&gt;1,"Duplicate ID",IF(C368="","Missing title",IF(D368="","Missing type",IF(E368="","Missing availability",IF(H368="","Missing offer",IF(L368="","Missing course URL",IF(ISERROR(SEARCH("https://www.keele.ac.uk/",L368)),"Non-Keele URL",IF(AND(D368="Foundation year",ISERROR(SEARCH("#foundationyear",L368))),"FY URL missing #foundationyear",IF(M368="","Missing display status",IF(N368="","Missing review date",IF(O368="","Missing owner",IF(P368="","Missing change note","OK")))))))))))))</x:f>
        <x:v>OK</x:v>
      </x:c>
    </x:row>
    <x:row r="369">
      <x:c r="A369" s="33" t="str">
        <x:v>2026-FD84-UG</x:v>
      </x:c>
      <x:c r="B369" s="37" t="n">
        <x:v>2026</x:v>
      </x:c>
      <x:c r="C369" s="35" t="str">
        <x:v>Sustainability and Environmental Management</x:v>
      </x:c>
      <x:c r="D369" s="33" t="str">
        <x:v>Undergraduate</x:v>
      </x:c>
      <x:c r="E369" s="33" t="str">
        <x:v>Vacancies</x:v>
      </x:c>
      <x:c r="F369" s="33" t="str">
        <x:v>FD84</x:v>
      </x:c>
      <x:c r="G369" s="33" t="str">
        <x:v>BSc (Hons)</x:v>
      </x:c>
      <x:c r="H369" s="35" t="str">
        <x:v>64 UCAS tariff points</x:v>
      </x:c>
      <x:c r="I369" s="35" t="str">
        <x:v>No</x:v>
      </x:c>
      <x:c r="J369" s="35" t="str">
        <x:v>Most undergraduate courses require GCSE English Language at grade 4/C or equivalent. Some courses also require GCSE Mathematics at grade 4/C or equivalent.</x:v>
      </x:c>
      <x:c r="K369" s="35" t="str">
        <x:v>https://www.keele.ac.uk/clearing/entry-requirements/</x:v>
      </x:c>
      <x:c r="L369" s="35" t="str">
        <x:v>https://www.keele.ac.uk/study/undergraduate-2026/undergraduatecourses/sustainabilityandenvironmentalmanagement/</x:v>
      </x:c>
      <x:c r="M369" s="33" t="str">
        <x:v>Yes</x:v>
      </x:c>
      <x:c r="N369" s="38" t="n">
        <x:v>46195</x:v>
      </x:c>
      <x:c r="O369" s="35" t="str">
        <x:v>Clearing content team</x:v>
      </x:c>
      <x:c r="P369" s="35" t="str">
        <x:v>Initial import from Clearing vacancies and ER page for 2026.docx</x:v>
      </x:c>
      <x:c r="Q369" s="36" t="str">
        <x:f>IF(A369="","Missing ID",IF(COUNTIF($A$5:$A$1000,A369)&gt;1,"Duplicate ID",IF(C369="","Missing title",IF(D369="","Missing type",IF(E369="","Missing availability",IF(H369="","Missing offer",IF(L369="","Missing course URL",IF(ISERROR(SEARCH("https://www.keele.ac.uk/",L369)),"Non-Keele URL",IF(AND(D369="Foundation year",ISERROR(SEARCH("#foundationyear",L369))),"FY URL missing #foundationyear",IF(M369="","Missing display status",IF(N369="","Missing review date",IF(O369="","Missing owner",IF(P369="","Missing change note","OK")))))))))))))</x:f>
        <x:v>OK</x:v>
      </x:c>
    </x:row>
    <x:row r="370">
      <x:c r="A370" s="33" t="str">
        <x:v>2026-sustainabilityandenvironmentalmanagement-FY</x:v>
      </x:c>
      <x:c r="B370" s="37" t="n">
        <x:v>2026</x:v>
      </x:c>
      <x:c r="C370" s="35" t="str">
        <x:v>Sustainability and Environmental Management with Foundation Year</x:v>
      </x:c>
      <x:c r="D370" s="33" t="str">
        <x:v>Foundation year</x:v>
      </x:c>
      <x:c r="E370" s="33" t="str">
        <x:v>Vacancies</x:v>
      </x:c>
      <x:c r="F370" s="33" t="str"/>
      <x:c r="G370" s="33" t="str"/>
      <x:c r="H370" s="35" t="str">
        <x:v>Course-specific</x:v>
      </x:c>
      <x:c r="I370" s="35" t="str">
        <x:v>No</x:v>
      </x:c>
      <x:c r="J370" s="35" t="str">
        <x:v>Foundation Year requirements vary by course. View the full course details or call 01782 491120 to discuss your qualifications.</x:v>
      </x:c>
      <x:c r="K370" s="35" t="str">
        <x:v>https://www.keele.ac.uk/clearing/entry-requirements/</x:v>
      </x:c>
      <x:c r="L370" s="35" t="str">
        <x:v>https://www.keele.ac.uk/study/undergraduate-2026/undergraduatecourses/sustainabilityandenvironmentalmanagement/#foundationyear</x:v>
      </x:c>
      <x:c r="M370" s="33" t="str">
        <x:v>Yes</x:v>
      </x:c>
      <x:c r="N370" s="38" t="n">
        <x:v>46195</x:v>
      </x:c>
      <x:c r="O370" s="35" t="str">
        <x:v>Clearing content team</x:v>
      </x:c>
      <x:c r="P370" s="35" t="str">
        <x:v>Initial import from Clearing vacancies and ER page for 2026.docx</x:v>
      </x:c>
      <x:c r="Q370" s="36" t="str">
        <x:f>IF(A370="","Missing ID",IF(COUNTIF($A$5:$A$1000,A370)&gt;1,"Duplicate ID",IF(C370="","Missing title",IF(D370="","Missing type",IF(E370="","Missing availability",IF(H370="","Missing offer",IF(L370="","Missing course URL",IF(ISERROR(SEARCH("https://www.keele.ac.uk/",L370)),"Non-Keele URL",IF(AND(D370="Foundation year",ISERROR(SEARCH("#foundationyear",L370))),"FY URL missing #foundationyear",IF(M370="","Missing display status",IF(N370="","Missing review date",IF(O370="","Missing owner",IF(P370="","Missing change note","OK")))))))))))))</x:f>
        <x:v>OK</x:v>
      </x:c>
    </x:row>
    <x:row r="371">
      <x:c r="A371" s="33" t="str">
        <x:v>2026-D100-UG</x:v>
      </x:c>
      <x:c r="B371" s="37" t="n">
        <x:v>2026</x:v>
      </x:c>
      <x:c r="C371" s="35" t="str">
        <x:v>Veterinary Medicine and Surgery</x:v>
      </x:c>
      <x:c r="D371" s="33" t="str">
        <x:v>Undergraduate</x:v>
      </x:c>
      <x:c r="E371" s="33" t="str">
        <x:v>Full</x:v>
      </x:c>
      <x:c r="F371" s="33" t="str">
        <x:v>D100</x:v>
      </x:c>
      <x:c r="G371" s="33" t="str">
        <x:v>BVetMS</x:v>
      </x:c>
      <x:c r="H371" s="35" t="str">
        <x:v>Course-specific</x:v>
      </x:c>
      <x:c r="I371" s="35" t="str">
        <x:v>No</x:v>
      </x:c>
      <x:c r="J371" s="35" t="str">
        <x:v>Most undergraduate courses require GCSE English Language at grade 4/C or equivalent. Some courses also require GCSE Mathematics at grade 4/C or equivalent.</x:v>
      </x:c>
      <x:c r="K371" s="35" t="str">
        <x:v>https://www.keele.ac.uk/clearing/entry-requirements/</x:v>
      </x:c>
      <x:c r="L371" s="35" t="str">
        <x:v>https://www.keele.ac.uk/study/undergraduate-2026/undergraduatecourses/veterinarymedicineandsurgery/</x:v>
      </x:c>
      <x:c r="M371" s="33" t="str">
        <x:v>Yes</x:v>
      </x:c>
      <x:c r="N371" s="38" t="n">
        <x:v>46195</x:v>
      </x:c>
      <x:c r="O371" s="35" t="str">
        <x:v>Clearing content team</x:v>
      </x:c>
      <x:c r="P371" s="35" t="str">
        <x:v>Initial import from Clearing vacancies and ER page for 2026.docx</x:v>
      </x:c>
      <x:c r="Q371" s="36" t="str">
        <x:f>IF(A371="","Missing ID",IF(COUNTIF($A$5:$A$1000,A371)&gt;1,"Duplicate ID",IF(C371="","Missing title",IF(D371="","Missing type",IF(E371="","Missing availability",IF(H371="","Missing offer",IF(L371="","Missing course URL",IF(ISERROR(SEARCH("https://www.keele.ac.uk/",L371)),"Non-Keele URL",IF(AND(D371="Foundation year",ISERROR(SEARCH("#foundationyear",L371))),"FY URL missing #foundationyear",IF(M371="","Missing display status",IF(N371="","Missing review date",IF(O371="","Missing owner",IF(P371="","Missing change note","OK")))))))))))))</x:f>
        <x:v>OK</x:v>
      </x:c>
    </x:row>
    <x:row r="372">
      <x:c r="A372" s="33" t="str">
        <x:v>2026-veterinarymedicineandsurgery-FY</x:v>
      </x:c>
      <x:c r="B372" s="37" t="n">
        <x:v>2026</x:v>
      </x:c>
      <x:c r="C372" s="35" t="str">
        <x:v>Veterinary Medicine and Surgery with Foundation Year</x:v>
      </x:c>
      <x:c r="D372" s="33" t="str">
        <x:v>Foundation year</x:v>
      </x:c>
      <x:c r="E372" s="33" t="str">
        <x:v>Full</x:v>
      </x:c>
      <x:c r="F372" s="33" t="str"/>
      <x:c r="G372" s="33" t="str"/>
      <x:c r="H372" s="35" t="str">
        <x:v>Course-specific</x:v>
      </x:c>
      <x:c r="I372" s="35" t="str">
        <x:v>No</x:v>
      </x:c>
      <x:c r="J372" s="35" t="str">
        <x:v>Foundation Year requirements vary by course. View the full course details or call 01782 491120 to discuss your qualifications.</x:v>
      </x:c>
      <x:c r="K372" s="35" t="str">
        <x:v>https://www.keele.ac.uk/clearing/entry-requirements/</x:v>
      </x:c>
      <x:c r="L372" s="35" t="str">
        <x:v>https://www.keele.ac.uk/study/undergraduate-2026/undergraduatecourses/veterinarymedicineandsurgery/#foundationyear</x:v>
      </x:c>
      <x:c r="M372" s="33" t="str">
        <x:v>Yes</x:v>
      </x:c>
      <x:c r="N372" s="38" t="n">
        <x:v>46195</x:v>
      </x:c>
      <x:c r="O372" s="35" t="str">
        <x:v>Clearing content team</x:v>
      </x:c>
      <x:c r="P372" s="35" t="str">
        <x:v>Initial import from Clearing vacancies and ER page for 2026.docx</x:v>
      </x:c>
      <x:c r="Q372" s="36" t="str">
        <x:f>IF(A372="","Missing ID",IF(COUNTIF($A$5:$A$1000,A372)&gt;1,"Duplicate ID",IF(C372="","Missing title",IF(D372="","Missing type",IF(E372="","Missing availability",IF(H372="","Missing offer",IF(L372="","Missing course URL",IF(ISERROR(SEARCH("https://www.keele.ac.uk/",L372)),"Non-Keele URL",IF(AND(D372="Foundation year",ISERROR(SEARCH("#foundationyear",L372))),"FY URL missing #foundationyear",IF(M372="","Missing display status",IF(N372="","Missing review date",IF(O372="","Missing owner",IF(P372="","Missing change note","OK")))))))))))))</x:f>
        <x:v>OK</x:v>
      </x:c>
    </x:row>
    <x:row r="373">
      <x:c r="A373" s="33" t="str">
        <x:v>2026-C300-UG</x:v>
      </x:c>
      <x:c r="B373" s="37" t="n">
        <x:v>2026</x:v>
      </x:c>
      <x:c r="C373" s="35" t="str">
        <x:v>Zoology</x:v>
      </x:c>
      <x:c r="D373" s="33" t="str">
        <x:v>Undergraduate</x:v>
      </x:c>
      <x:c r="E373" s="33" t="str">
        <x:v>Vacancies</x:v>
      </x:c>
      <x:c r="F373" s="33" t="str">
        <x:v>C300</x:v>
      </x:c>
      <x:c r="G373" s="33" t="str">
        <x:v>BSc (Hons)</x:v>
      </x:c>
      <x:c r="H373" s="35" t="str">
        <x:v>64 UCAS tariff points</x:v>
      </x:c>
      <x:c r="I373" s="35" t="str">
        <x:v>Yes</x:v>
      </x:c>
      <x:c r="J373" s="35" t="str">
        <x:v>This course has additional subject-specific requirements. View the full course details or contact Admissions before applying.</x:v>
      </x:c>
      <x:c r="K373" s="35" t="str">
        <x:v>https://www.keele.ac.uk/clearing/entry-requirements/</x:v>
      </x:c>
      <x:c r="L373" s="35" t="str">
        <x:v>https://www.keele.ac.uk/study/undergraduate-2026/undergraduatecourses/zoology/</x:v>
      </x:c>
      <x:c r="M373" s="33" t="str">
        <x:v>Yes</x:v>
      </x:c>
      <x:c r="N373" s="38" t="n">
        <x:v>46195</x:v>
      </x:c>
      <x:c r="O373" s="35" t="str">
        <x:v>Clearing content team</x:v>
      </x:c>
      <x:c r="P373" s="35" t="str">
        <x:v>Initial import from Clearing vacancies and ER page for 2026.docx</x:v>
      </x:c>
      <x:c r="Q373" s="36" t="str">
        <x:f>IF(A373="","Missing ID",IF(COUNTIF($A$5:$A$1000,A373)&gt;1,"Duplicate ID",IF(C373="","Missing title",IF(D373="","Missing type",IF(E373="","Missing availability",IF(H373="","Missing offer",IF(L373="","Missing course URL",IF(ISERROR(SEARCH("https://www.keele.ac.uk/",L373)),"Non-Keele URL",IF(AND(D373="Foundation year",ISERROR(SEARCH("#foundationyear",L373))),"FY URL missing #foundationyear",IF(M373="","Missing display status",IF(N373="","Missing review date",IF(O373="","Missing owner",IF(P373="","Missing change note","OK")))))))))))))</x:f>
        <x:v>OK</x:v>
      </x:c>
    </x:row>
    <x:row r="374">
      <x:c r="A374" s="33" t="str">
        <x:v>2026-zoology-FY</x:v>
      </x:c>
      <x:c r="B374" s="37" t="n">
        <x:v>2026</x:v>
      </x:c>
      <x:c r="C374" s="35" t="str">
        <x:v>Zoology with Foundation Year</x:v>
      </x:c>
      <x:c r="D374" s="33" t="str">
        <x:v>Foundation year</x:v>
      </x:c>
      <x:c r="E374" s="33" t="str">
        <x:v>Vacancies</x:v>
      </x:c>
      <x:c r="F374" s="33" t="str"/>
      <x:c r="G374" s="33" t="str"/>
      <x:c r="H374" s="35" t="str">
        <x:v>Course-specific</x:v>
      </x:c>
      <x:c r="I374" s="35" t="str">
        <x:v>No</x:v>
      </x:c>
      <x:c r="J374" s="35" t="str">
        <x:v>Foundation Year requirements vary by course. View the full course details or call 01782 491120 to discuss your qualifications.</x:v>
      </x:c>
      <x:c r="K374" s="35" t="str">
        <x:v>https://www.keele.ac.uk/clearing/entry-requirements/</x:v>
      </x:c>
      <x:c r="L374" s="35" t="str">
        <x:v>https://www.keele.ac.uk/study/undergraduate-2026/undergraduatecourses/zoology/#foundationyear</x:v>
      </x:c>
      <x:c r="M374" s="33" t="str">
        <x:v>Yes</x:v>
      </x:c>
      <x:c r="N374" s="38" t="n">
        <x:v>46195</x:v>
      </x:c>
      <x:c r="O374" s="35" t="str">
        <x:v>Clearing content team</x:v>
      </x:c>
      <x:c r="P374" s="35" t="str">
        <x:v>Initial import from Clearing vacancies and ER page for 2026.docx</x:v>
      </x:c>
      <x:c r="Q374" s="36" t="str">
        <x:f>IF(A374="","Missing ID",IF(COUNTIF($A$5:$A$1000,A374)&gt;1,"Duplicate ID",IF(C374="","Missing title",IF(D374="","Missing type",IF(E374="","Missing availability",IF(H374="","Missing offer",IF(L374="","Missing course URL",IF(ISERROR(SEARCH("https://www.keele.ac.uk/",L374)),"Non-Keele URL",IF(AND(D374="Foundation year",ISERROR(SEARCH("#foundationyear",L374))),"FY URL missing #foundationyear",IF(M374="","Missing display status",IF(N374="","Missing review date",IF(O374="","Missing owner",IF(P374="","Missing change note","OK")))))))))))))</x:f>
        <x:v>OK</x:v>
      </x:c>
    </x:row>
    <x:row r="375">
      <x:c r="A375" s="33" t="str">
        <x:v>2026-zoologywithintegratedmasters-UG</x:v>
      </x:c>
      <x:c r="B375" s="37" t="n">
        <x:v>2026</x:v>
      </x:c>
      <x:c r="C375" s="35" t="str">
        <x:v>Zoology with Integrated Master's</x:v>
      </x:c>
      <x:c r="D375" s="33" t="str">
        <x:v>Undergraduate</x:v>
      </x:c>
      <x:c r="E375" s="33" t="str">
        <x:v>Vacancies</x:v>
      </x:c>
      <x:c r="F375" s="33" t="str"/>
      <x:c r="G375" s="33" t="str"/>
      <x:c r="H375" s="35" t="str">
        <x:v>64 UCAS tariff points</x:v>
      </x:c>
      <x:c r="I375" s="35" t="str">
        <x:v>Yes</x:v>
      </x:c>
      <x:c r="J375" s="35" t="str">
        <x:v>This course has additional subject-specific requirements. View the full course details or contact Admissions before applying.</x:v>
      </x:c>
      <x:c r="K375" s="35" t="str">
        <x:v>https://www.keele.ac.uk/clearing/entry-requirements/</x:v>
      </x:c>
      <x:c r="L375" s="35" t="str">
        <x:v>https://www.keele.ac.uk/study/undergraduate-2026/undergraduatecourses/zoologywithintegratedmasters/</x:v>
      </x:c>
      <x:c r="M375" s="33" t="str">
        <x:v>Yes</x:v>
      </x:c>
      <x:c r="N375" s="38" t="n">
        <x:v>46195</x:v>
      </x:c>
      <x:c r="O375" s="35" t="str">
        <x:v>Clearing content team</x:v>
      </x:c>
      <x:c r="P375" s="35" t="str">
        <x:v>Initial import from Clearing vacancies and ER page for 2026.docx</x:v>
      </x:c>
      <x:c r="Q375" s="36" t="str">
        <x:f>IF(A375="","Missing ID",IF(COUNTIF($A$5:$A$1000,A375)&gt;1,"Duplicate ID",IF(C375="","Missing title",IF(D375="","Missing type",IF(E375="","Missing availability",IF(H375="","Missing offer",IF(L375="","Missing course URL",IF(ISERROR(SEARCH("https://www.keele.ac.uk/",L375)),"Non-Keele URL",IF(AND(D375="Foundation year",ISERROR(SEARCH("#foundationyear",L375))),"FY URL missing #foundationyear",IF(M375="","Missing display status",IF(N375="","Missing review date",IF(O375="","Missing owner",IF(P375="","Missing change note","OK")))))))))))))</x:f>
        <x:v>OK</x:v>
      </x:c>
    </x:row>
    <x:row r="376">
      <x:c r="A376" s="33" t="str">
        <x:v>2026-zoologywithintegratedmasters-FY</x:v>
      </x:c>
      <x:c r="B376" s="37" t="n">
        <x:v>2026</x:v>
      </x:c>
      <x:c r="C376" s="35" t="str">
        <x:v>Zoology with Integrated Master's with Foundation Year</x:v>
      </x:c>
      <x:c r="D376" s="33" t="str">
        <x:v>Foundation year</x:v>
      </x:c>
      <x:c r="E376" s="33" t="str">
        <x:v>Vacancies</x:v>
      </x:c>
      <x:c r="F376" s="33" t="str"/>
      <x:c r="G376" s="33" t="str"/>
      <x:c r="H376" s="35" t="str">
        <x:v>Course-specific</x:v>
      </x:c>
      <x:c r="I376" s="35" t="str">
        <x:v>No</x:v>
      </x:c>
      <x:c r="J376" s="35" t="str">
        <x:v>Foundation Year requirements vary by course. View the full course details or call 01782 491120 to discuss your qualifications.</x:v>
      </x:c>
      <x:c r="K376" s="35" t="str">
        <x:v>https://www.keele.ac.uk/clearing/entry-requirements/</x:v>
      </x:c>
      <x:c r="L376" s="35" t="str">
        <x:v>https://www.keele.ac.uk/study/undergraduate-2026/undergraduatecourses/zoologywithintegratedmasters/#foundationyear</x:v>
      </x:c>
      <x:c r="M376" s="33" t="str">
        <x:v>Yes</x:v>
      </x:c>
      <x:c r="N376" s="38" t="n">
        <x:v>46195</x:v>
      </x:c>
      <x:c r="O376" s="35" t="str">
        <x:v>Clearing content team</x:v>
      </x:c>
      <x:c r="P376" s="35" t="str">
        <x:v>Initial import from Clearing vacancies and ER page for 2026.docx</x:v>
      </x:c>
      <x:c r="Q376" s="36" t="str">
        <x:f>IF(A376="","Missing ID",IF(COUNTIF($A$5:$A$1000,A376)&gt;1,"Duplicate ID",IF(C376="","Missing title",IF(D376="","Missing type",IF(E376="","Missing availability",IF(H376="","Missing offer",IF(L376="","Missing course URL",IF(ISERROR(SEARCH("https://www.keele.ac.uk/",L376)),"Non-Keele URL",IF(AND(D376="Foundation year",ISERROR(SEARCH("#foundationyear",L376))),"FY URL missing #foundationyear",IF(M376="","Missing display status",IF(N376="","Missing review date",IF(O376="","Missing owner",IF(P376="","Missing change note","OK")))))))))))))</x:f>
        <x:v>OK</x:v>
      </x:c>
    </x:row>
  </x:sheetData>
  <x:mergeCells>
    <x:mergeCell ref="A1:Q1"/>
    <x:mergeCell ref="A2:Q2"/>
    <x:mergeCell ref="A3:Q3"/>
  </x:mergeCells>
  <x:dataValidations count="6">
    <x:dataValidation type="list" sqref="B5:B1000">
      <x:formula1>"2026,2027,2028,2029,2030"</x:formula1>
    </x:dataValidation>
    <x:dataValidation type="list" sqref="D5:D1000">
      <x:formula1>"Undergraduate,Foundation year"</x:formula1>
    </x:dataValidation>
    <x:dataValidation type="list" sqref="E5:E1000">
      <x:formula1>"Vacancies,Limited vacancies,Waiting list,Full"</x:formula1>
    </x:dataValidation>
    <x:dataValidation type="list" sqref="I5:I1000">
      <x:formula1>"Yes,No"</x:formula1>
    </x:dataValidation>
    <x:dataValidation type="list" sqref="M5:M1000">
      <x:formula1>"Yes,No"</x:formula1>
    </x:dataValidation>
    <x:dataValidation type="date" operator="between" sqref="N5:N1000">
      <x:formula1>46023</x:formula1>
      <x:formula2>47848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a04759d362746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5" hidden="0" customWidth="1"/>
    <x:col min="3" max="3" width="19" hidden="0" customWidth="1"/>
    <x:col min="4" max="4" width="3" hidden="0" customWidth="1"/>
    <x:col min="5" max="5" width="24" hidden="0" customWidth="1"/>
    <x:col min="6" max="6" width="18" hidden="0" customWidth="1"/>
    <x:col min="7" max="7" width="18" hidden="0" customWidth="1"/>
    <x:col min="8" max="8" width="8" hidden="0" customWidth="1"/>
  </x:cols>
  <x:sheetData>
    <x:row r="1" ht="34" customHeight="1">
      <x:c r="A1" s="3" t="str">
        <x:v>QA Dashboard and Publishing Gate</x:v>
      </x:c>
      <x:c r="B1" s="3" t="str">
        <x:v>QA Dashboard and Publishing Gate</x:v>
      </x:c>
      <x:c r="C1" s="3" t="str">
        <x:v>QA Dashboard and Publishing Gate</x:v>
      </x:c>
      <x:c r="D1" s="3" t="str">
        <x:v>QA Dashboard and Publishing Gate</x:v>
      </x:c>
      <x:c r="E1" s="3" t="str">
        <x:v>QA Dashboard and Publishing Gate</x:v>
      </x:c>
      <x:c r="F1" s="3" t="str">
        <x:v>QA Dashboard and Publishing Gate</x:v>
      </x:c>
      <x:c r="G1" s="3" t="str">
        <x:v>QA Dashboard and Publishing Gate</x:v>
      </x:c>
      <x:c r="H1" s="3" t="str">
        <x:v>QA Dashboard and Publishing Gate</x:v>
      </x:c>
    </x:row>
    <x:row r="2" ht="34" customHeight="1">
      <x:c r="A2" s="3" t="str">
        <x:v>QA Dashboard and Publishing Gate</x:v>
      </x:c>
      <x:c r="B2" s="3" t="str">
        <x:v>QA Dashboard and Publishing Gate</x:v>
      </x:c>
      <x:c r="C2" s="3" t="str">
        <x:v>QA Dashboard and Publishing Gate</x:v>
      </x:c>
      <x:c r="D2" s="3" t="str">
        <x:v>QA Dashboard and Publishing Gate</x:v>
      </x:c>
      <x:c r="E2" s="3" t="str">
        <x:v>QA Dashboard and Publishing Gate</x:v>
      </x:c>
      <x:c r="F2" s="3" t="str">
        <x:v>QA Dashboard and Publishing Gate</x:v>
      </x:c>
      <x:c r="G2" s="3" t="str">
        <x:v>QA Dashboard and Publishing Gate</x:v>
      </x:c>
      <x:c r="H2" s="3" t="str">
        <x:v>QA Dashboard and Publishing Gate</x:v>
      </x:c>
    </x:row>
    <x:row r="3">
      <x:c r="A3" s="39" t="str">
        <x:v>Expected displayed records</x:v>
      </x:c>
      <x:c r="B3" s="40" t="n">
        <x:v>372</x:v>
      </x:c>
    </x:row>
    <x:row r="4">
      <x:c r="A4" s="39" t="str">
        <x:v>Actual displayed records</x:v>
      </x:c>
      <x:c r="B4" s="40" t="n">
        <x:f>COUNTIF('Courses'!$M$5:$M$1000,"Yes")</x:f>
        <x:v>372</x:v>
      </x:c>
    </x:row>
    <x:row r="5">
      <x:c r="A5" s="39" t="str">
        <x:v>Difference</x:v>
      </x:c>
      <x:c r="B5" s="40" t="n">
        <x:f>B4-B3</x:f>
        <x:v>0</x:v>
      </x:c>
    </x:row>
    <x:row r="6">
      <x:c r="A6" s="39" t="str">
        <x:v>Rows with validation issues</x:v>
      </x:c>
      <x:c r="B6" s="40" t="n">
        <x:f>COUNTIFS('Courses'!$A$5:$A$1000,"&lt;&gt;",'Courses'!$Q$5:$Q$1000,"&lt;&gt;OK")</x:f>
        <x:v>0</x:v>
      </x:c>
    </x:row>
    <x:row r="7">
      <x:c r="A7" s="39" t="str">
        <x:v>Publishing gate</x:v>
      </x:c>
      <x:c r="B7" s="40" t="str">
        <x:f>IF(AND(B5=0,B6=0),"READY FOR SECOND-PERSON REVIEW","DO NOT PUBLISH")</x:f>
        <x:v>READY FOR SECOND-PERSON REVIEW</x:v>
      </x:c>
    </x:row>
    <x:row r="9">
      <x:c r="A9" s="9" t="str">
        <x:v>Availability</x:v>
      </x:c>
      <x:c r="B9" s="9" t="str">
        <x:v>All records</x:v>
      </x:c>
      <x:c r="C9" s="9" t="str">
        <x:v>Displayed records</x:v>
      </x:c>
      <x:c r="E9" s="9" t="str">
        <x:v>Course type</x:v>
      </x:c>
      <x:c r="F9" s="9" t="str">
        <x:v>All records</x:v>
      </x:c>
      <x:c r="G9" s="9" t="str">
        <x:v>Displayed records</x:v>
      </x:c>
    </x:row>
    <x:row r="10">
      <x:c r="A10" t="str">
        <x:v>Vacancies</x:v>
      </x:c>
      <x:c r="B10" t="n">
        <x:f>COUNTIF('Courses'!$E$5:$E$1000,A10)</x:f>
        <x:v>353</x:v>
      </x:c>
      <x:c r="C10" t="n">
        <x:f>COUNTIFS('Courses'!$E$5:$E$1000,A10,'Courses'!$M$5:$M$1000,"Yes")</x:f>
        <x:v>353</x:v>
      </x:c>
      <x:c r="E10" t="str">
        <x:v>Undergraduate</x:v>
      </x:c>
      <x:c r="F10" t="n">
        <x:f>COUNTIF('Courses'!$D$5:$D$1000,E10)</x:f>
        <x:v>188</x:v>
      </x:c>
      <x:c r="G10" t="n">
        <x:f>COUNTIFS('Courses'!$D$5:$D$1000,E10,'Courses'!$M$5:$M$1000,"Yes")</x:f>
        <x:v>188</x:v>
      </x:c>
    </x:row>
    <x:row r="11">
      <x:c r="A11" t="str">
        <x:v>Limited vacancies</x:v>
      </x:c>
      <x:c r="B11" t="n">
        <x:f>COUNTIF('Courses'!$E$5:$E$1000,A11)</x:f>
        <x:v>4</x:v>
      </x:c>
      <x:c r="C11" t="n">
        <x:f>COUNTIFS('Courses'!$E$5:$E$1000,A11,'Courses'!$M$5:$M$1000,"Yes")</x:f>
        <x:v>4</x:v>
      </x:c>
      <x:c r="E11" t="str">
        <x:v>Foundation year</x:v>
      </x:c>
      <x:c r="F11" t="n">
        <x:f>COUNTIF('Courses'!$D$5:$D$1000,E11)</x:f>
        <x:v>184</x:v>
      </x:c>
      <x:c r="G11" t="n">
        <x:f>COUNTIFS('Courses'!$D$5:$D$1000,E11,'Courses'!$M$5:$M$1000,"Yes")</x:f>
        <x:v>184</x:v>
      </x:c>
    </x:row>
    <x:row r="12">
      <x:c r="A12" t="str">
        <x:v>Waiting list</x:v>
      </x:c>
      <x:c r="B12" t="n">
        <x:f>COUNTIF('Courses'!$E$5:$E$1000,A12)</x:f>
        <x:v>7</x:v>
      </x:c>
      <x:c r="C12" t="n">
        <x:f>COUNTIFS('Courses'!$E$5:$E$1000,A12,'Courses'!$M$5:$M$1000,"Yes")</x:f>
        <x:v>7</x:v>
      </x:c>
    </x:row>
    <x:row r="13">
      <x:c r="A13" t="str">
        <x:v>Full</x:v>
      </x:c>
      <x:c r="B13" t="n">
        <x:f>COUNTIF('Courses'!$E$5:$E$1000,A13)</x:f>
        <x:v>8</x:v>
      </x:c>
      <x:c r="C13" t="n">
        <x:f>COUNTIFS('Courses'!$E$5:$E$1000,A13,'Courses'!$M$5:$M$1000,"Yes")</x:f>
        <x:v>8</x:v>
      </x:c>
    </x:row>
    <x:row r="15">
      <x:c r="A15" s="9" t="str">
        <x:v>Pre-publication review</x:v>
      </x:c>
      <x:c r="B15" s="9"/>
      <x:c r="C15" s="9"/>
      <x:c r="D15" s="9"/>
      <x:c r="E15" s="9"/>
      <x:c r="F15" s="9"/>
      <x:c r="G15" s="9"/>
      <x:c r="H15" s="9"/>
    </x:row>
    <x:row r="16">
      <x:c r="A16" s="43" t="str">
        <x:v>□</x:v>
      </x:c>
      <x:c r="B16" s="13" t="str">
        <x:v>Row Check is OK for every populated row</x:v>
      </x:c>
    </x:row>
    <x:row r="17">
      <x:c r="A17" s="43" t="str">
        <x:v>□</x:v>
      </x:c>
      <x:c r="B17" s="13" t="str">
        <x:v>Expected and actual displayed totals match</x:v>
      </x:c>
    </x:row>
    <x:row r="18">
      <x:c r="A18" s="43" t="str">
        <x:v>□</x:v>
      </x:c>
      <x:c r="B18" s="13" t="str">
        <x:v>Availability totals have been confirmed by Admissions</x:v>
      </x:c>
    </x:row>
    <x:row r="19">
      <x:c r="A19" s="43" t="str">
        <x:v>□</x:v>
      </x:c>
      <x:c r="B19" s="13" t="str">
        <x:v>Foundation Year URLs and course-specific links were spot-checked</x:v>
      </x:c>
    </x:row>
    <x:row r="20">
      <x:c r="A20" s="43" t="str">
        <x:v>□</x:v>
      </x:c>
      <x:c r="B20" s="13" t="str">
        <x:v>Validator completed with zero blocking errors</x:v>
      </x:c>
    </x:row>
    <x:row r="21">
      <x:c r="A21" s="43" t="str">
        <x:v>□</x:v>
      </x:c>
      <x:c r="B21" s="13" t="str">
        <x:v>Generated HTML backup was reviewed in desktop and mobile views</x:v>
      </x:c>
    </x:row>
    <x:row r="22">
      <x:c r="A22" s="43" t="str">
        <x:v>□</x:v>
      </x:c>
      <x:c r="B22" s="13" t="str">
        <x:v>A second officer approved the release</x:v>
      </x:c>
    </x:row>
    <x:row r="23">
      <x:c r="A23" s="43" t="str">
        <x:v>□</x:v>
      </x:c>
      <x:c r="B23" s="13" t="str">
        <x:v>Previous server files were archived before replacement</x:v>
      </x:c>
    </x:row>
  </x:sheetData>
  <x:mergeCells>
    <x:mergeCell ref="A1:H2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18" hidden="0" customWidth="1"/>
    <x:col min="5" max="5" width="12" hidden="0" customWidth="1"/>
    <x:col min="6" max="6" width="24" hidden="0" customWidth="1"/>
    <x:col min="7" max="7" width="22" hidden="0" customWidth="1"/>
    <x:col min="8" max="8" width="20" hidden="0" customWidth="1"/>
    <x:col min="9" max="9" width="34" hidden="0" customWidth="1"/>
    <x:col min="10" max="10" width="48" hidden="0" customWidth="1"/>
  </x:cols>
  <x:sheetData>
    <x:row r="1" ht="34" customHeight="1">
      <x:c r="A1" s="3" t="str">
        <x:v>Publishing and Change Log</x:v>
      </x:c>
      <x:c r="B1" s="3" t="str">
        <x:v>Publishing and Change Log</x:v>
      </x:c>
      <x:c r="C1" s="3" t="str">
        <x:v>Publishing and Change Log</x:v>
      </x:c>
      <x:c r="D1" s="3" t="str">
        <x:v>Publishing and Change Log</x:v>
      </x:c>
      <x:c r="E1" s="3" t="str">
        <x:v>Publishing and Change Log</x:v>
      </x:c>
      <x:c r="F1" s="3" t="str">
        <x:v>Publishing and Change Log</x:v>
      </x:c>
      <x:c r="G1" s="3" t="str">
        <x:v>Publishing and Change Log</x:v>
      </x:c>
      <x:c r="H1" s="3" t="str">
        <x:v>Publishing and Change Log</x:v>
      </x:c>
      <x:c r="I1" s="3" t="str">
        <x:v>Publishing and Change Log</x:v>
      </x:c>
      <x:c r="J1" s="3" t="str">
        <x:v>Publishing and Change Log</x:v>
      </x:c>
    </x:row>
    <x:row r="2" ht="34" customHeight="1">
      <x:c r="A2" s="3" t="str">
        <x:v>Publishing and Change Log</x:v>
      </x:c>
      <x:c r="B2" s="3" t="str">
        <x:v>Publishing and Change Log</x:v>
      </x:c>
      <x:c r="C2" s="3" t="str">
        <x:v>Publishing and Change Log</x:v>
      </x:c>
      <x:c r="D2" s="3" t="str">
        <x:v>Publishing and Change Log</x:v>
      </x:c>
      <x:c r="E2" s="3" t="str">
        <x:v>Publishing and Change Log</x:v>
      </x:c>
      <x:c r="F2" s="3" t="str">
        <x:v>Publishing and Change Log</x:v>
      </x:c>
      <x:c r="G2" s="3" t="str">
        <x:v>Publishing and Change Log</x:v>
      </x:c>
      <x:c r="H2" s="3" t="str">
        <x:v>Publishing and Change Log</x:v>
      </x:c>
      <x:c r="I2" s="3" t="str">
        <x:v>Publishing and Change Log</x:v>
      </x:c>
      <x:c r="J2" s="3" t="str">
        <x:v>Publishing and Change Log</x:v>
      </x:c>
    </x:row>
    <x:row r="3">
      <x:c r="A3" s="25" t="str">
        <x:v>Add one row for every generated release, including failed or rolled-back attempts. Do not overwrite previous entries.</x:v>
      </x:c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46" t="str">
        <x:v>Date</x:v>
      </x:c>
      <x:c r="B4" s="46" t="str">
        <x:v>Officer</x:v>
      </x:c>
      <x:c r="C4" s="46" t="str">
        <x:v>Action</x:v>
      </x:c>
      <x:c r="D4" s="46" t="str">
        <x:v>Dataset Version</x:v>
      </x:c>
      <x:c r="E4" s="46" t="str">
        <x:v>Records</x:v>
      </x:c>
      <x:c r="F4" s="46" t="str">
        <x:v>Validation Result</x:v>
      </x:c>
      <x:c r="G4" s="46" t="str">
        <x:v>Approver</x:v>
      </x:c>
      <x:c r="H4" s="46" t="str">
        <x:v>Published At</x:v>
      </x:c>
      <x:c r="I4" s="46" t="str">
        <x:v>Server Archive Filename</x:v>
      </x:c>
      <x:c r="J4" s="46" t="str">
        <x:v>Notes</x:v>
      </x:c>
    </x:row>
    <x:row r="5">
      <x:c r="A5" s="49" t="n">
        <x:v>46195</x:v>
      </x:c>
      <x:c r="B5" s="21" t="str">
        <x:v>Chris Beard</x:v>
      </x:c>
      <x:c r="C5" s="21" t="str">
        <x:v>Initial workbook created</x:v>
      </x:c>
      <x:c r="D5" s="21" t="str">
        <x:v>2026.1</x:v>
      </x:c>
      <x:c r="E5" s="21" t="n">
        <x:v>372</x:v>
      </x:c>
      <x:c r="F5" s="21" t="str">
        <x:v>Pending team review</x:v>
      </x:c>
      <x:c r="G5" s="21" t="str"/>
      <x:c r="H5" s="50" t="str"/>
      <x:c r="I5" s="21" t="str"/>
      <x:c r="J5" s="21" t="str">
        <x:v>Populated from the supplied Clearing 2026 working document</x:v>
      </x:c>
    </x:row>
    <x:row r="6">
      <x:c r="A6" s="51"/>
      <x:c r="B6" s="13"/>
      <x:c r="C6" s="13"/>
      <x:c r="D6" s="13"/>
      <x:c r="E6" s="13"/>
      <x:c r="F6" s="13"/>
      <x:c r="G6" s="13"/>
      <x:c r="H6" s="52"/>
      <x:c r="I6" s="13"/>
      <x:c r="J6" s="13"/>
    </x:row>
    <x:row r="7">
      <x:c r="A7" s="51"/>
      <x:c r="B7" s="13"/>
      <x:c r="C7" s="13"/>
      <x:c r="D7" s="13"/>
      <x:c r="E7" s="13"/>
      <x:c r="F7" s="13"/>
      <x:c r="G7" s="13"/>
      <x:c r="H7" s="52"/>
      <x:c r="I7" s="13"/>
      <x:c r="J7" s="13"/>
    </x:row>
    <x:row r="8">
      <x:c r="A8" s="51"/>
      <x:c r="B8" s="13"/>
      <x:c r="C8" s="13"/>
      <x:c r="D8" s="13"/>
      <x:c r="E8" s="13"/>
      <x:c r="F8" s="13"/>
      <x:c r="G8" s="13"/>
      <x:c r="H8" s="52"/>
      <x:c r="I8" s="13"/>
      <x:c r="J8" s="13"/>
    </x:row>
    <x:row r="9">
      <x:c r="A9" s="51"/>
      <x:c r="B9" s="13"/>
      <x:c r="C9" s="13"/>
      <x:c r="D9" s="13"/>
      <x:c r="E9" s="13"/>
      <x:c r="F9" s="13"/>
      <x:c r="G9" s="13"/>
      <x:c r="H9" s="52"/>
      <x:c r="I9" s="13"/>
      <x:c r="J9" s="13"/>
    </x:row>
    <x:row r="10">
      <x:c r="A10" s="51"/>
      <x:c r="B10" s="13"/>
      <x:c r="C10" s="13"/>
      <x:c r="D10" s="13"/>
      <x:c r="E10" s="13"/>
      <x:c r="F10" s="13"/>
      <x:c r="G10" s="13"/>
      <x:c r="H10" s="52"/>
      <x:c r="I10" s="13"/>
      <x:c r="J10" s="13"/>
    </x:row>
    <x:row r="11">
      <x:c r="A11" s="51"/>
      <x:c r="B11" s="13"/>
      <x:c r="C11" s="13"/>
      <x:c r="D11" s="13"/>
      <x:c r="E11" s="13"/>
      <x:c r="F11" s="13"/>
      <x:c r="G11" s="13"/>
      <x:c r="H11" s="52"/>
      <x:c r="I11" s="13"/>
      <x:c r="J11" s="13"/>
    </x:row>
    <x:row r="12">
      <x:c r="A12" s="51"/>
      <x:c r="B12" s="13"/>
      <x:c r="C12" s="13"/>
      <x:c r="D12" s="13"/>
      <x:c r="E12" s="13"/>
      <x:c r="F12" s="13"/>
      <x:c r="G12" s="13"/>
      <x:c r="H12" s="52"/>
      <x:c r="I12" s="13"/>
      <x:c r="J12" s="13"/>
    </x:row>
    <x:row r="13">
      <x:c r="A13" s="51"/>
      <x:c r="B13" s="13"/>
      <x:c r="C13" s="13"/>
      <x:c r="D13" s="13"/>
      <x:c r="E13" s="13"/>
      <x:c r="F13" s="13"/>
      <x:c r="G13" s="13"/>
      <x:c r="H13" s="52"/>
      <x:c r="I13" s="13"/>
      <x:c r="J13" s="13"/>
    </x:row>
    <x:row r="14">
      <x:c r="A14" s="51"/>
      <x:c r="B14" s="13"/>
      <x:c r="C14" s="13"/>
      <x:c r="D14" s="13"/>
      <x:c r="E14" s="13"/>
      <x:c r="F14" s="13"/>
      <x:c r="G14" s="13"/>
      <x:c r="H14" s="52"/>
      <x:c r="I14" s="13"/>
      <x:c r="J14" s="13"/>
    </x:row>
    <x:row r="15">
      <x:c r="A15" s="51"/>
      <x:c r="B15" s="13"/>
      <x:c r="C15" s="13"/>
      <x:c r="D15" s="13"/>
      <x:c r="E15" s="13"/>
      <x:c r="F15" s="13"/>
      <x:c r="G15" s="13"/>
      <x:c r="H15" s="52"/>
      <x:c r="I15" s="13"/>
      <x:c r="J15" s="13"/>
    </x:row>
    <x:row r="16">
      <x:c r="A16" s="51"/>
      <x:c r="B16" s="13"/>
      <x:c r="C16" s="13"/>
      <x:c r="D16" s="13"/>
      <x:c r="E16" s="13"/>
      <x:c r="F16" s="13"/>
      <x:c r="G16" s="13"/>
      <x:c r="H16" s="52"/>
      <x:c r="I16" s="13"/>
      <x:c r="J16" s="13"/>
    </x:row>
    <x:row r="17">
      <x:c r="A17" s="51"/>
      <x:c r="B17" s="13"/>
      <x:c r="C17" s="13"/>
      <x:c r="D17" s="13"/>
      <x:c r="E17" s="13"/>
      <x:c r="F17" s="13"/>
      <x:c r="G17" s="13"/>
      <x:c r="H17" s="52"/>
      <x:c r="I17" s="13"/>
      <x:c r="J17" s="13"/>
    </x:row>
    <x:row r="18">
      <x:c r="A18" s="51"/>
      <x:c r="B18" s="13"/>
      <x:c r="C18" s="13"/>
      <x:c r="D18" s="13"/>
      <x:c r="E18" s="13"/>
      <x:c r="F18" s="13"/>
      <x:c r="G18" s="13"/>
      <x:c r="H18" s="52"/>
      <x:c r="I18" s="13"/>
      <x:c r="J18" s="13"/>
    </x:row>
    <x:row r="19">
      <x:c r="A19" s="51"/>
      <x:c r="B19" s="13"/>
      <x:c r="C19" s="13"/>
      <x:c r="D19" s="13"/>
      <x:c r="E19" s="13"/>
      <x:c r="F19" s="13"/>
      <x:c r="G19" s="13"/>
      <x:c r="H19" s="52"/>
      <x:c r="I19" s="13"/>
      <x:c r="J19" s="13"/>
    </x:row>
    <x:row r="20">
      <x:c r="A20" s="51"/>
      <x:c r="B20" s="13"/>
      <x:c r="C20" s="13"/>
      <x:c r="D20" s="13"/>
      <x:c r="E20" s="13"/>
      <x:c r="F20" s="13"/>
      <x:c r="G20" s="13"/>
      <x:c r="H20" s="52"/>
      <x:c r="I20" s="13"/>
      <x:c r="J20" s="13"/>
    </x:row>
    <x:row r="21">
      <x:c r="A21" s="51"/>
      <x:c r="B21" s="13"/>
      <x:c r="C21" s="13"/>
      <x:c r="D21" s="13"/>
      <x:c r="E21" s="13"/>
      <x:c r="F21" s="13"/>
      <x:c r="G21" s="13"/>
      <x:c r="H21" s="52"/>
      <x:c r="I21" s="13"/>
      <x:c r="J21" s="13"/>
    </x:row>
    <x:row r="22">
      <x:c r="A22" s="51"/>
      <x:c r="B22" s="13"/>
      <x:c r="C22" s="13"/>
      <x:c r="D22" s="13"/>
      <x:c r="E22" s="13"/>
      <x:c r="F22" s="13"/>
      <x:c r="G22" s="13"/>
      <x:c r="H22" s="52"/>
      <x:c r="I22" s="13"/>
      <x:c r="J22" s="13"/>
    </x:row>
    <x:row r="23">
      <x:c r="A23" s="51"/>
      <x:c r="B23" s="13"/>
      <x:c r="C23" s="13"/>
      <x:c r="D23" s="13"/>
      <x:c r="E23" s="13"/>
      <x:c r="F23" s="13"/>
      <x:c r="G23" s="13"/>
      <x:c r="H23" s="52"/>
      <x:c r="I23" s="13"/>
      <x:c r="J23" s="13"/>
    </x:row>
    <x:row r="24">
      <x:c r="A24" s="51"/>
      <x:c r="B24" s="13"/>
      <x:c r="C24" s="13"/>
      <x:c r="D24" s="13"/>
      <x:c r="E24" s="13"/>
      <x:c r="F24" s="13"/>
      <x:c r="G24" s="13"/>
      <x:c r="H24" s="52"/>
      <x:c r="I24" s="13"/>
      <x:c r="J24" s="13"/>
    </x:row>
    <x:row r="25">
      <x:c r="A25" s="51"/>
      <x:c r="B25" s="13"/>
      <x:c r="C25" s="13"/>
      <x:c r="D25" s="13"/>
      <x:c r="E25" s="13"/>
      <x:c r="F25" s="13"/>
      <x:c r="G25" s="13"/>
      <x:c r="H25" s="52"/>
      <x:c r="I25" s="13"/>
      <x:c r="J25" s="13"/>
    </x:row>
    <x:row r="26">
      <x:c r="A26" s="51"/>
      <x:c r="B26" s="13"/>
      <x:c r="C26" s="13"/>
      <x:c r="D26" s="13"/>
      <x:c r="E26" s="13"/>
      <x:c r="F26" s="13"/>
      <x:c r="G26" s="13"/>
      <x:c r="H26" s="52"/>
      <x:c r="I26" s="13"/>
      <x:c r="J26" s="13"/>
    </x:row>
    <x:row r="27">
      <x:c r="A27" s="51"/>
      <x:c r="B27" s="13"/>
      <x:c r="C27" s="13"/>
      <x:c r="D27" s="13"/>
      <x:c r="E27" s="13"/>
      <x:c r="F27" s="13"/>
      <x:c r="G27" s="13"/>
      <x:c r="H27" s="52"/>
      <x:c r="I27" s="13"/>
      <x:c r="J27" s="13"/>
    </x:row>
    <x:row r="28">
      <x:c r="A28" s="51"/>
      <x:c r="B28" s="13"/>
      <x:c r="C28" s="13"/>
      <x:c r="D28" s="13"/>
      <x:c r="E28" s="13"/>
      <x:c r="F28" s="13"/>
      <x:c r="G28" s="13"/>
      <x:c r="H28" s="52"/>
      <x:c r="I28" s="13"/>
      <x:c r="J28" s="13"/>
    </x:row>
    <x:row r="29">
      <x:c r="A29" s="51"/>
      <x:c r="B29" s="13"/>
      <x:c r="C29" s="13"/>
      <x:c r="D29" s="13"/>
      <x:c r="E29" s="13"/>
      <x:c r="F29" s="13"/>
      <x:c r="G29" s="13"/>
      <x:c r="H29" s="52"/>
      <x:c r="I29" s="13"/>
      <x:c r="J29" s="13"/>
    </x:row>
    <x:row r="30">
      <x:c r="A30" s="51"/>
      <x:c r="B30" s="13"/>
      <x:c r="C30" s="13"/>
      <x:c r="D30" s="13"/>
      <x:c r="E30" s="13"/>
      <x:c r="F30" s="13"/>
      <x:c r="G30" s="13"/>
      <x:c r="H30" s="52"/>
      <x:c r="I30" s="13"/>
      <x:c r="J30" s="13"/>
    </x:row>
    <x:row r="31">
      <x:c r="A31" s="51"/>
      <x:c r="B31" s="13"/>
      <x:c r="C31" s="13"/>
      <x:c r="D31" s="13"/>
      <x:c r="E31" s="13"/>
      <x:c r="F31" s="13"/>
      <x:c r="G31" s="13"/>
      <x:c r="H31" s="52"/>
      <x:c r="I31" s="13"/>
      <x:c r="J31" s="13"/>
    </x:row>
    <x:row r="32">
      <x:c r="A32" s="51"/>
      <x:c r="B32" s="13"/>
      <x:c r="C32" s="13"/>
      <x:c r="D32" s="13"/>
      <x:c r="E32" s="13"/>
      <x:c r="F32" s="13"/>
      <x:c r="G32" s="13"/>
      <x:c r="H32" s="52"/>
      <x:c r="I32" s="13"/>
      <x:c r="J32" s="13"/>
    </x:row>
    <x:row r="33">
      <x:c r="A33" s="51"/>
      <x:c r="B33" s="13"/>
      <x:c r="C33" s="13"/>
      <x:c r="D33" s="13"/>
      <x:c r="E33" s="13"/>
      <x:c r="F33" s="13"/>
      <x:c r="G33" s="13"/>
      <x:c r="H33" s="52"/>
      <x:c r="I33" s="13"/>
      <x:c r="J33" s="13"/>
    </x:row>
    <x:row r="34">
      <x:c r="A34" s="51"/>
      <x:c r="B34" s="13"/>
      <x:c r="C34" s="13"/>
      <x:c r="D34" s="13"/>
      <x:c r="E34" s="13"/>
      <x:c r="F34" s="13"/>
      <x:c r="G34" s="13"/>
      <x:c r="H34" s="52"/>
      <x:c r="I34" s="13"/>
      <x:c r="J34" s="13"/>
    </x:row>
    <x:row r="35">
      <x:c r="A35" s="51"/>
      <x:c r="B35" s="13"/>
      <x:c r="C35" s="13"/>
      <x:c r="D35" s="13"/>
      <x:c r="E35" s="13"/>
      <x:c r="F35" s="13"/>
      <x:c r="G35" s="13"/>
      <x:c r="H35" s="52"/>
      <x:c r="I35" s="13"/>
      <x:c r="J35" s="13"/>
    </x:row>
    <x:row r="36">
      <x:c r="A36" s="51"/>
      <x:c r="B36" s="13"/>
      <x:c r="C36" s="13"/>
      <x:c r="D36" s="13"/>
      <x:c r="E36" s="13"/>
      <x:c r="F36" s="13"/>
      <x:c r="G36" s="13"/>
      <x:c r="H36" s="52"/>
      <x:c r="I36" s="13"/>
      <x:c r="J36" s="13"/>
    </x:row>
    <x:row r="37">
      <x:c r="A37" s="51"/>
      <x:c r="B37" s="13"/>
      <x:c r="C37" s="13"/>
      <x:c r="D37" s="13"/>
      <x:c r="E37" s="13"/>
      <x:c r="F37" s="13"/>
      <x:c r="G37" s="13"/>
      <x:c r="H37" s="52"/>
      <x:c r="I37" s="13"/>
      <x:c r="J37" s="13"/>
    </x:row>
    <x:row r="38">
      <x:c r="A38" s="51"/>
      <x:c r="B38" s="13"/>
      <x:c r="C38" s="13"/>
      <x:c r="D38" s="13"/>
      <x:c r="E38" s="13"/>
      <x:c r="F38" s="13"/>
      <x:c r="G38" s="13"/>
      <x:c r="H38" s="52"/>
      <x:c r="I38" s="13"/>
      <x:c r="J38" s="13"/>
    </x:row>
    <x:row r="39">
      <x:c r="A39" s="51"/>
      <x:c r="B39" s="13"/>
      <x:c r="C39" s="13"/>
      <x:c r="D39" s="13"/>
      <x:c r="E39" s="13"/>
      <x:c r="F39" s="13"/>
      <x:c r="G39" s="13"/>
      <x:c r="H39" s="52"/>
      <x:c r="I39" s="13"/>
      <x:c r="J39" s="13"/>
    </x:row>
    <x:row r="40">
      <x:c r="A40" s="51"/>
      <x:c r="B40" s="13"/>
      <x:c r="C40" s="13"/>
      <x:c r="D40" s="13"/>
      <x:c r="E40" s="13"/>
      <x:c r="F40" s="13"/>
      <x:c r="G40" s="13"/>
      <x:c r="H40" s="52"/>
      <x:c r="I40" s="13"/>
      <x:c r="J40" s="13"/>
    </x:row>
    <x:row r="41">
      <x:c r="A41" s="51"/>
      <x:c r="B41" s="13"/>
      <x:c r="C41" s="13"/>
      <x:c r="D41" s="13"/>
      <x:c r="E41" s="13"/>
      <x:c r="F41" s="13"/>
      <x:c r="G41" s="13"/>
      <x:c r="H41" s="52"/>
      <x:c r="I41" s="13"/>
      <x:c r="J41" s="13"/>
    </x:row>
    <x:row r="42">
      <x:c r="A42" s="51"/>
      <x:c r="B42" s="13"/>
      <x:c r="C42" s="13"/>
      <x:c r="D42" s="13"/>
      <x:c r="E42" s="13"/>
      <x:c r="F42" s="13"/>
      <x:c r="G42" s="13"/>
      <x:c r="H42" s="52"/>
      <x:c r="I42" s="13"/>
      <x:c r="J42" s="13"/>
    </x:row>
    <x:row r="43">
      <x:c r="A43" s="51"/>
      <x:c r="B43" s="13"/>
      <x:c r="C43" s="13"/>
      <x:c r="D43" s="13"/>
      <x:c r="E43" s="13"/>
      <x:c r="F43" s="13"/>
      <x:c r="G43" s="13"/>
      <x:c r="H43" s="52"/>
      <x:c r="I43" s="13"/>
      <x:c r="J43" s="13"/>
    </x:row>
    <x:row r="44">
      <x:c r="A44" s="51"/>
      <x:c r="B44" s="13"/>
      <x:c r="C44" s="13"/>
      <x:c r="D44" s="13"/>
      <x:c r="E44" s="13"/>
      <x:c r="F44" s="13"/>
      <x:c r="G44" s="13"/>
      <x:c r="H44" s="52"/>
      <x:c r="I44" s="13"/>
      <x:c r="J44" s="13"/>
    </x:row>
    <x:row r="45">
      <x:c r="A45" s="51"/>
      <x:c r="B45" s="13"/>
      <x:c r="C45" s="13"/>
      <x:c r="D45" s="13"/>
      <x:c r="E45" s="13"/>
      <x:c r="F45" s="13"/>
      <x:c r="G45" s="13"/>
      <x:c r="H45" s="52"/>
      <x:c r="I45" s="13"/>
      <x:c r="J45" s="13"/>
    </x:row>
    <x:row r="46">
      <x:c r="A46" s="51"/>
      <x:c r="B46" s="13"/>
      <x:c r="C46" s="13"/>
      <x:c r="D46" s="13"/>
      <x:c r="E46" s="13"/>
      <x:c r="F46" s="13"/>
      <x:c r="G46" s="13"/>
      <x:c r="H46" s="52"/>
      <x:c r="I46" s="13"/>
      <x:c r="J46" s="13"/>
    </x:row>
    <x:row r="47">
      <x:c r="A47" s="51"/>
      <x:c r="B47" s="13"/>
      <x:c r="C47" s="13"/>
      <x:c r="D47" s="13"/>
      <x:c r="E47" s="13"/>
      <x:c r="F47" s="13"/>
      <x:c r="G47" s="13"/>
      <x:c r="H47" s="52"/>
      <x:c r="I47" s="13"/>
      <x:c r="J47" s="13"/>
    </x:row>
    <x:row r="48">
      <x:c r="A48" s="51"/>
      <x:c r="B48" s="13"/>
      <x:c r="C48" s="13"/>
      <x:c r="D48" s="13"/>
      <x:c r="E48" s="13"/>
      <x:c r="F48" s="13"/>
      <x:c r="G48" s="13"/>
      <x:c r="H48" s="52"/>
      <x:c r="I48" s="13"/>
      <x:c r="J48" s="13"/>
    </x:row>
    <x:row r="49">
      <x:c r="A49" s="51"/>
      <x:c r="B49" s="13"/>
      <x:c r="C49" s="13"/>
      <x:c r="D49" s="13"/>
      <x:c r="E49" s="13"/>
      <x:c r="F49" s="13"/>
      <x:c r="G49" s="13"/>
      <x:c r="H49" s="52"/>
      <x:c r="I49" s="13"/>
      <x:c r="J49" s="13"/>
    </x:row>
    <x:row r="50">
      <x:c r="A50" s="51"/>
      <x:c r="B50" s="13"/>
      <x:c r="C50" s="13"/>
      <x:c r="D50" s="13"/>
      <x:c r="E50" s="13"/>
      <x:c r="F50" s="13"/>
      <x:c r="G50" s="13"/>
      <x:c r="H50" s="52"/>
      <x:c r="I50" s="13"/>
      <x:c r="J50" s="13"/>
    </x:row>
    <x:row r="51">
      <x:c r="A51" s="51"/>
      <x:c r="B51" s="13"/>
      <x:c r="C51" s="13"/>
      <x:c r="D51" s="13"/>
      <x:c r="E51" s="13"/>
      <x:c r="F51" s="13"/>
      <x:c r="G51" s="13"/>
      <x:c r="H51" s="52"/>
      <x:c r="I51" s="13"/>
      <x:c r="J51" s="13"/>
    </x:row>
    <x:row r="52">
      <x:c r="A52" s="51"/>
      <x:c r="B52" s="13"/>
      <x:c r="C52" s="13"/>
      <x:c r="D52" s="13"/>
      <x:c r="E52" s="13"/>
      <x:c r="F52" s="13"/>
      <x:c r="G52" s="13"/>
      <x:c r="H52" s="52"/>
      <x:c r="I52" s="13"/>
      <x:c r="J52" s="13"/>
    </x:row>
    <x:row r="53">
      <x:c r="A53" s="51"/>
      <x:c r="B53" s="13"/>
      <x:c r="C53" s="13"/>
      <x:c r="D53" s="13"/>
      <x:c r="E53" s="13"/>
      <x:c r="F53" s="13"/>
      <x:c r="G53" s="13"/>
      <x:c r="H53" s="52"/>
      <x:c r="I53" s="13"/>
      <x:c r="J53" s="13"/>
    </x:row>
    <x:row r="54">
      <x:c r="A54" s="51"/>
      <x:c r="B54" s="13"/>
      <x:c r="C54" s="13"/>
      <x:c r="D54" s="13"/>
      <x:c r="E54" s="13"/>
      <x:c r="F54" s="13"/>
      <x:c r="G54" s="13"/>
      <x:c r="H54" s="52"/>
      <x:c r="I54" s="13"/>
      <x:c r="J54" s="13"/>
    </x:row>
    <x:row r="55">
      <x:c r="A55" s="51"/>
      <x:c r="B55" s="13"/>
      <x:c r="C55" s="13"/>
      <x:c r="D55" s="13"/>
      <x:c r="E55" s="13"/>
      <x:c r="F55" s="13"/>
      <x:c r="G55" s="13"/>
      <x:c r="H55" s="52"/>
      <x:c r="I55" s="13"/>
      <x:c r="J55" s="13"/>
    </x:row>
    <x:row r="56">
      <x:c r="A56" s="51"/>
      <x:c r="B56" s="13"/>
      <x:c r="C56" s="13"/>
      <x:c r="D56" s="13"/>
      <x:c r="E56" s="13"/>
      <x:c r="F56" s="13"/>
      <x:c r="G56" s="13"/>
      <x:c r="H56" s="52"/>
      <x:c r="I56" s="13"/>
      <x:c r="J56" s="13"/>
    </x:row>
    <x:row r="57">
      <x:c r="A57" s="51"/>
      <x:c r="B57" s="13"/>
      <x:c r="C57" s="13"/>
      <x:c r="D57" s="13"/>
      <x:c r="E57" s="13"/>
      <x:c r="F57" s="13"/>
      <x:c r="G57" s="13"/>
      <x:c r="H57" s="52"/>
      <x:c r="I57" s="13"/>
      <x:c r="J57" s="13"/>
    </x:row>
    <x:row r="58">
      <x:c r="A58" s="51"/>
      <x:c r="B58" s="13"/>
      <x:c r="C58" s="13"/>
      <x:c r="D58" s="13"/>
      <x:c r="E58" s="13"/>
      <x:c r="F58" s="13"/>
      <x:c r="G58" s="13"/>
      <x:c r="H58" s="52"/>
      <x:c r="I58" s="13"/>
      <x:c r="J58" s="13"/>
    </x:row>
    <x:row r="59">
      <x:c r="A59" s="51"/>
      <x:c r="B59" s="13"/>
      <x:c r="C59" s="13"/>
      <x:c r="D59" s="13"/>
      <x:c r="E59" s="13"/>
      <x:c r="F59" s="13"/>
      <x:c r="G59" s="13"/>
      <x:c r="H59" s="52"/>
      <x:c r="I59" s="13"/>
      <x:c r="J59" s="13"/>
    </x:row>
    <x:row r="60">
      <x:c r="A60" s="51"/>
      <x:c r="B60" s="13"/>
      <x:c r="C60" s="13"/>
      <x:c r="D60" s="13"/>
      <x:c r="E60" s="13"/>
      <x:c r="F60" s="13"/>
      <x:c r="G60" s="13"/>
      <x:c r="H60" s="52"/>
      <x:c r="I60" s="13"/>
      <x:c r="J60" s="13"/>
    </x:row>
    <x:row r="61">
      <x:c r="A61" s="51"/>
      <x:c r="B61" s="13"/>
      <x:c r="C61" s="13"/>
      <x:c r="D61" s="13"/>
      <x:c r="E61" s="13"/>
      <x:c r="F61" s="13"/>
      <x:c r="G61" s="13"/>
      <x:c r="H61" s="52"/>
      <x:c r="I61" s="13"/>
      <x:c r="J61" s="13"/>
    </x:row>
    <x:row r="62">
      <x:c r="A62" s="51"/>
      <x:c r="B62" s="13"/>
      <x:c r="C62" s="13"/>
      <x:c r="D62" s="13"/>
      <x:c r="E62" s="13"/>
      <x:c r="F62" s="13"/>
      <x:c r="G62" s="13"/>
      <x:c r="H62" s="52"/>
      <x:c r="I62" s="13"/>
      <x:c r="J62" s="13"/>
    </x:row>
    <x:row r="63">
      <x:c r="A63" s="51"/>
      <x:c r="B63" s="13"/>
      <x:c r="C63" s="13"/>
      <x:c r="D63" s="13"/>
      <x:c r="E63" s="13"/>
      <x:c r="F63" s="13"/>
      <x:c r="G63" s="13"/>
      <x:c r="H63" s="52"/>
      <x:c r="I63" s="13"/>
      <x:c r="J63" s="13"/>
    </x:row>
    <x:row r="64">
      <x:c r="A64" s="51"/>
      <x:c r="B64" s="13"/>
      <x:c r="C64" s="13"/>
      <x:c r="D64" s="13"/>
      <x:c r="E64" s="13"/>
      <x:c r="F64" s="13"/>
      <x:c r="G64" s="13"/>
      <x:c r="H64" s="52"/>
      <x:c r="I64" s="13"/>
      <x:c r="J64" s="13"/>
    </x:row>
    <x:row r="65">
      <x:c r="A65" s="51"/>
      <x:c r="B65" s="13"/>
      <x:c r="C65" s="13"/>
      <x:c r="D65" s="13"/>
      <x:c r="E65" s="13"/>
      <x:c r="F65" s="13"/>
      <x:c r="G65" s="13"/>
      <x:c r="H65" s="52"/>
      <x:c r="I65" s="13"/>
      <x:c r="J65" s="13"/>
    </x:row>
    <x:row r="66">
      <x:c r="A66" s="51"/>
      <x:c r="B66" s="13"/>
      <x:c r="C66" s="13"/>
      <x:c r="D66" s="13"/>
      <x:c r="E66" s="13"/>
      <x:c r="F66" s="13"/>
      <x:c r="G66" s="13"/>
      <x:c r="H66" s="52"/>
      <x:c r="I66" s="13"/>
      <x:c r="J66" s="13"/>
    </x:row>
    <x:row r="67">
      <x:c r="A67" s="51"/>
      <x:c r="B67" s="13"/>
      <x:c r="C67" s="13"/>
      <x:c r="D67" s="13"/>
      <x:c r="E67" s="13"/>
      <x:c r="F67" s="13"/>
      <x:c r="G67" s="13"/>
      <x:c r="H67" s="52"/>
      <x:c r="I67" s="13"/>
      <x:c r="J67" s="13"/>
    </x:row>
    <x:row r="68">
      <x:c r="A68" s="51"/>
      <x:c r="B68" s="13"/>
      <x:c r="C68" s="13"/>
      <x:c r="D68" s="13"/>
      <x:c r="E68" s="13"/>
      <x:c r="F68" s="13"/>
      <x:c r="G68" s="13"/>
      <x:c r="H68" s="52"/>
      <x:c r="I68" s="13"/>
      <x:c r="J68" s="13"/>
    </x:row>
    <x:row r="69">
      <x:c r="A69" s="51"/>
      <x:c r="B69" s="13"/>
      <x:c r="C69" s="13"/>
      <x:c r="D69" s="13"/>
      <x:c r="E69" s="13"/>
      <x:c r="F69" s="13"/>
      <x:c r="G69" s="13"/>
      <x:c r="H69" s="52"/>
      <x:c r="I69" s="13"/>
      <x:c r="J69" s="13"/>
    </x:row>
    <x:row r="70">
      <x:c r="A70" s="51"/>
      <x:c r="B70" s="13"/>
      <x:c r="C70" s="13"/>
      <x:c r="D70" s="13"/>
      <x:c r="E70" s="13"/>
      <x:c r="F70" s="13"/>
      <x:c r="G70" s="13"/>
      <x:c r="H70" s="52"/>
      <x:c r="I70" s="13"/>
      <x:c r="J70" s="13"/>
    </x:row>
    <x:row r="71">
      <x:c r="A71" s="51"/>
      <x:c r="B71" s="13"/>
      <x:c r="C71" s="13"/>
      <x:c r="D71" s="13"/>
      <x:c r="E71" s="13"/>
      <x:c r="F71" s="13"/>
      <x:c r="G71" s="13"/>
      <x:c r="H71" s="52"/>
      <x:c r="I71" s="13"/>
      <x:c r="J71" s="13"/>
    </x:row>
    <x:row r="72">
      <x:c r="A72" s="51"/>
      <x:c r="B72" s="13"/>
      <x:c r="C72" s="13"/>
      <x:c r="D72" s="13"/>
      <x:c r="E72" s="13"/>
      <x:c r="F72" s="13"/>
      <x:c r="G72" s="13"/>
      <x:c r="H72" s="52"/>
      <x:c r="I72" s="13"/>
      <x:c r="J72" s="13"/>
    </x:row>
    <x:row r="73">
      <x:c r="A73" s="51"/>
      <x:c r="B73" s="13"/>
      <x:c r="C73" s="13"/>
      <x:c r="D73" s="13"/>
      <x:c r="E73" s="13"/>
      <x:c r="F73" s="13"/>
      <x:c r="G73" s="13"/>
      <x:c r="H73" s="52"/>
      <x:c r="I73" s="13"/>
      <x:c r="J73" s="13"/>
    </x:row>
    <x:row r="74">
      <x:c r="A74" s="51"/>
      <x:c r="B74" s="13"/>
      <x:c r="C74" s="13"/>
      <x:c r="D74" s="13"/>
      <x:c r="E74" s="13"/>
      <x:c r="F74" s="13"/>
      <x:c r="G74" s="13"/>
      <x:c r="H74" s="52"/>
      <x:c r="I74" s="13"/>
      <x:c r="J74" s="13"/>
    </x:row>
    <x:row r="75">
      <x:c r="A75" s="51"/>
      <x:c r="B75" s="13"/>
      <x:c r="C75" s="13"/>
      <x:c r="D75" s="13"/>
      <x:c r="E75" s="13"/>
      <x:c r="F75" s="13"/>
      <x:c r="G75" s="13"/>
      <x:c r="H75" s="52"/>
      <x:c r="I75" s="13"/>
      <x:c r="J75" s="13"/>
    </x:row>
    <x:row r="76">
      <x:c r="A76" s="51"/>
      <x:c r="B76" s="13"/>
      <x:c r="C76" s="13"/>
      <x:c r="D76" s="13"/>
      <x:c r="E76" s="13"/>
      <x:c r="F76" s="13"/>
      <x:c r="G76" s="13"/>
      <x:c r="H76" s="52"/>
      <x:c r="I76" s="13"/>
      <x:c r="J76" s="13"/>
    </x:row>
    <x:row r="77">
      <x:c r="A77" s="51"/>
      <x:c r="B77" s="13"/>
      <x:c r="C77" s="13"/>
      <x:c r="D77" s="13"/>
      <x:c r="E77" s="13"/>
      <x:c r="F77" s="13"/>
      <x:c r="G77" s="13"/>
      <x:c r="H77" s="52"/>
      <x:c r="I77" s="13"/>
      <x:c r="J77" s="13"/>
    </x:row>
    <x:row r="78">
      <x:c r="A78" s="51"/>
      <x:c r="B78" s="13"/>
      <x:c r="C78" s="13"/>
      <x:c r="D78" s="13"/>
      <x:c r="E78" s="13"/>
      <x:c r="F78" s="13"/>
      <x:c r="G78" s="13"/>
      <x:c r="H78" s="52"/>
      <x:c r="I78" s="13"/>
      <x:c r="J78" s="13"/>
    </x:row>
    <x:row r="79">
      <x:c r="A79" s="51"/>
      <x:c r="B79" s="13"/>
      <x:c r="C79" s="13"/>
      <x:c r="D79" s="13"/>
      <x:c r="E79" s="13"/>
      <x:c r="F79" s="13"/>
      <x:c r="G79" s="13"/>
      <x:c r="H79" s="52"/>
      <x:c r="I79" s="13"/>
      <x:c r="J79" s="13"/>
    </x:row>
    <x:row r="80">
      <x:c r="A80" s="51"/>
      <x:c r="B80" s="13"/>
      <x:c r="C80" s="13"/>
      <x:c r="D80" s="13"/>
      <x:c r="E80" s="13"/>
      <x:c r="F80" s="13"/>
      <x:c r="G80" s="13"/>
      <x:c r="H80" s="52"/>
      <x:c r="I80" s="13"/>
      <x:c r="J80" s="13"/>
    </x:row>
    <x:row r="81">
      <x:c r="A81" s="51"/>
      <x:c r="B81" s="13"/>
      <x:c r="C81" s="13"/>
      <x:c r="D81" s="13"/>
      <x:c r="E81" s="13"/>
      <x:c r="F81" s="13"/>
      <x:c r="G81" s="13"/>
      <x:c r="H81" s="52"/>
      <x:c r="I81" s="13"/>
      <x:c r="J81" s="13"/>
    </x:row>
    <x:row r="82">
      <x:c r="A82" s="51"/>
      <x:c r="B82" s="13"/>
      <x:c r="C82" s="13"/>
      <x:c r="D82" s="13"/>
      <x:c r="E82" s="13"/>
      <x:c r="F82" s="13"/>
      <x:c r="G82" s="13"/>
      <x:c r="H82" s="52"/>
      <x:c r="I82" s="13"/>
      <x:c r="J82" s="13"/>
    </x:row>
    <x:row r="83">
      <x:c r="A83" s="51"/>
      <x:c r="B83" s="13"/>
      <x:c r="C83" s="13"/>
      <x:c r="D83" s="13"/>
      <x:c r="E83" s="13"/>
      <x:c r="F83" s="13"/>
      <x:c r="G83" s="13"/>
      <x:c r="H83" s="52"/>
      <x:c r="I83" s="13"/>
      <x:c r="J83" s="13"/>
    </x:row>
    <x:row r="84">
      <x:c r="A84" s="51"/>
      <x:c r="B84" s="13"/>
      <x:c r="C84" s="13"/>
      <x:c r="D84" s="13"/>
      <x:c r="E84" s="13"/>
      <x:c r="F84" s="13"/>
      <x:c r="G84" s="13"/>
      <x:c r="H84" s="52"/>
      <x:c r="I84" s="13"/>
      <x:c r="J84" s="13"/>
    </x:row>
    <x:row r="85">
      <x:c r="A85" s="51"/>
      <x:c r="B85" s="13"/>
      <x:c r="C85" s="13"/>
      <x:c r="D85" s="13"/>
      <x:c r="E85" s="13"/>
      <x:c r="F85" s="13"/>
      <x:c r="G85" s="13"/>
      <x:c r="H85" s="52"/>
      <x:c r="I85" s="13"/>
      <x:c r="J85" s="13"/>
    </x:row>
    <x:row r="86">
      <x:c r="A86" s="51"/>
      <x:c r="B86" s="13"/>
      <x:c r="C86" s="13"/>
      <x:c r="D86" s="13"/>
      <x:c r="E86" s="13"/>
      <x:c r="F86" s="13"/>
      <x:c r="G86" s="13"/>
      <x:c r="H86" s="52"/>
      <x:c r="I86" s="13"/>
      <x:c r="J86" s="13"/>
    </x:row>
    <x:row r="87">
      <x:c r="A87" s="51"/>
      <x:c r="B87" s="13"/>
      <x:c r="C87" s="13"/>
      <x:c r="D87" s="13"/>
      <x:c r="E87" s="13"/>
      <x:c r="F87" s="13"/>
      <x:c r="G87" s="13"/>
      <x:c r="H87" s="52"/>
      <x:c r="I87" s="13"/>
      <x:c r="J87" s="13"/>
    </x:row>
    <x:row r="88">
      <x:c r="A88" s="51"/>
      <x:c r="B88" s="13"/>
      <x:c r="C88" s="13"/>
      <x:c r="D88" s="13"/>
      <x:c r="E88" s="13"/>
      <x:c r="F88" s="13"/>
      <x:c r="G88" s="13"/>
      <x:c r="H88" s="52"/>
      <x:c r="I88" s="13"/>
      <x:c r="J88" s="13"/>
    </x:row>
    <x:row r="89">
      <x:c r="A89" s="51"/>
      <x:c r="B89" s="13"/>
      <x:c r="C89" s="13"/>
      <x:c r="D89" s="13"/>
      <x:c r="E89" s="13"/>
      <x:c r="F89" s="13"/>
      <x:c r="G89" s="13"/>
      <x:c r="H89" s="52"/>
      <x:c r="I89" s="13"/>
      <x:c r="J89" s="13"/>
    </x:row>
    <x:row r="90">
      <x:c r="A90" s="51"/>
      <x:c r="B90" s="13"/>
      <x:c r="C90" s="13"/>
      <x:c r="D90" s="13"/>
      <x:c r="E90" s="13"/>
      <x:c r="F90" s="13"/>
      <x:c r="G90" s="13"/>
      <x:c r="H90" s="52"/>
      <x:c r="I90" s="13"/>
      <x:c r="J90" s="13"/>
    </x:row>
    <x:row r="91">
      <x:c r="A91" s="51"/>
      <x:c r="B91" s="13"/>
      <x:c r="C91" s="13"/>
      <x:c r="D91" s="13"/>
      <x:c r="E91" s="13"/>
      <x:c r="F91" s="13"/>
      <x:c r="G91" s="13"/>
      <x:c r="H91" s="52"/>
      <x:c r="I91" s="13"/>
      <x:c r="J91" s="13"/>
    </x:row>
    <x:row r="92">
      <x:c r="A92" s="51"/>
      <x:c r="B92" s="13"/>
      <x:c r="C92" s="13"/>
      <x:c r="D92" s="13"/>
      <x:c r="E92" s="13"/>
      <x:c r="F92" s="13"/>
      <x:c r="G92" s="13"/>
      <x:c r="H92" s="52"/>
      <x:c r="I92" s="13"/>
      <x:c r="J92" s="13"/>
    </x:row>
    <x:row r="93">
      <x:c r="A93" s="51"/>
      <x:c r="B93" s="13"/>
      <x:c r="C93" s="13"/>
      <x:c r="D93" s="13"/>
      <x:c r="E93" s="13"/>
      <x:c r="F93" s="13"/>
      <x:c r="G93" s="13"/>
      <x:c r="H93" s="52"/>
      <x:c r="I93" s="13"/>
      <x:c r="J93" s="13"/>
    </x:row>
    <x:row r="94">
      <x:c r="A94" s="51"/>
      <x:c r="B94" s="13"/>
      <x:c r="C94" s="13"/>
      <x:c r="D94" s="13"/>
      <x:c r="E94" s="13"/>
      <x:c r="F94" s="13"/>
      <x:c r="G94" s="13"/>
      <x:c r="H94" s="52"/>
      <x:c r="I94" s="13"/>
      <x:c r="J94" s="13"/>
    </x:row>
    <x:row r="95">
      <x:c r="A95" s="51"/>
      <x:c r="B95" s="13"/>
      <x:c r="C95" s="13"/>
      <x:c r="D95" s="13"/>
      <x:c r="E95" s="13"/>
      <x:c r="F95" s="13"/>
      <x:c r="G95" s="13"/>
      <x:c r="H95" s="52"/>
      <x:c r="I95" s="13"/>
      <x:c r="J95" s="13"/>
    </x:row>
    <x:row r="96">
      <x:c r="A96" s="51"/>
      <x:c r="B96" s="13"/>
      <x:c r="C96" s="13"/>
      <x:c r="D96" s="13"/>
      <x:c r="E96" s="13"/>
      <x:c r="F96" s="13"/>
      <x:c r="G96" s="13"/>
      <x:c r="H96" s="52"/>
      <x:c r="I96" s="13"/>
      <x:c r="J96" s="13"/>
    </x:row>
    <x:row r="97">
      <x:c r="A97" s="51"/>
      <x:c r="B97" s="13"/>
      <x:c r="C97" s="13"/>
      <x:c r="D97" s="13"/>
      <x:c r="E97" s="13"/>
      <x:c r="F97" s="13"/>
      <x:c r="G97" s="13"/>
      <x:c r="H97" s="52"/>
      <x:c r="I97" s="13"/>
      <x:c r="J97" s="13"/>
    </x:row>
    <x:row r="98">
      <x:c r="A98" s="51"/>
      <x:c r="B98" s="13"/>
      <x:c r="C98" s="13"/>
      <x:c r="D98" s="13"/>
      <x:c r="E98" s="13"/>
      <x:c r="F98" s="13"/>
      <x:c r="G98" s="13"/>
      <x:c r="H98" s="52"/>
      <x:c r="I98" s="13"/>
      <x:c r="J98" s="13"/>
    </x:row>
    <x:row r="99">
      <x:c r="A99" s="51"/>
      <x:c r="B99" s="13"/>
      <x:c r="C99" s="13"/>
      <x:c r="D99" s="13"/>
      <x:c r="E99" s="13"/>
      <x:c r="F99" s="13"/>
      <x:c r="G99" s="13"/>
      <x:c r="H99" s="52"/>
      <x:c r="I99" s="13"/>
      <x:c r="J99" s="13"/>
    </x:row>
    <x:row r="100">
      <x:c r="A100" s="51"/>
      <x:c r="B100" s="13"/>
      <x:c r="C100" s="13"/>
      <x:c r="D100" s="13"/>
      <x:c r="E100" s="13"/>
      <x:c r="F100" s="13"/>
      <x:c r="G100" s="13"/>
      <x:c r="H100" s="52"/>
      <x:c r="I100" s="13"/>
      <x:c r="J100" s="13"/>
    </x:row>
    <x:row r="101">
      <x:c r="A101" s="51"/>
      <x:c r="B101" s="13"/>
      <x:c r="C101" s="13"/>
      <x:c r="D101" s="13"/>
      <x:c r="E101" s="13"/>
      <x:c r="F101" s="13"/>
      <x:c r="G101" s="13"/>
      <x:c r="H101" s="52"/>
      <x:c r="I101" s="13"/>
      <x:c r="J101" s="13"/>
    </x:row>
    <x:row r="102">
      <x:c r="A102" s="51"/>
      <x:c r="B102" s="13"/>
      <x:c r="C102" s="13"/>
      <x:c r="D102" s="13"/>
      <x:c r="E102" s="13"/>
      <x:c r="F102" s="13"/>
      <x:c r="G102" s="13"/>
      <x:c r="H102" s="52"/>
      <x:c r="I102" s="13"/>
      <x:c r="J102" s="13"/>
    </x:row>
    <x:row r="103">
      <x:c r="A103" s="51"/>
      <x:c r="B103" s="13"/>
      <x:c r="C103" s="13"/>
      <x:c r="D103" s="13"/>
      <x:c r="E103" s="13"/>
      <x:c r="F103" s="13"/>
      <x:c r="G103" s="13"/>
      <x:c r="H103" s="52"/>
      <x:c r="I103" s="13"/>
      <x:c r="J103" s="13"/>
    </x:row>
    <x:row r="104">
      <x:c r="A104" s="51"/>
      <x:c r="B104" s="13"/>
      <x:c r="C104" s="13"/>
      <x:c r="D104" s="13"/>
      <x:c r="E104" s="13"/>
      <x:c r="F104" s="13"/>
      <x:c r="G104" s="13"/>
      <x:c r="H104" s="52"/>
      <x:c r="I104" s="13"/>
      <x:c r="J104" s="13"/>
    </x:row>
    <x:row r="105">
      <x:c r="A105" s="51"/>
      <x:c r="B105" s="13"/>
      <x:c r="C105" s="13"/>
      <x:c r="D105" s="13"/>
      <x:c r="E105" s="13"/>
      <x:c r="F105" s="13"/>
      <x:c r="G105" s="13"/>
      <x:c r="H105" s="52"/>
      <x:c r="I105" s="13"/>
      <x:c r="J105" s="13"/>
    </x:row>
    <x:row r="106">
      <x:c r="A106" s="51"/>
      <x:c r="B106" s="13"/>
      <x:c r="C106" s="13"/>
      <x:c r="D106" s="13"/>
      <x:c r="E106" s="13"/>
      <x:c r="F106" s="13"/>
      <x:c r="G106" s="13"/>
      <x:c r="H106" s="52"/>
      <x:c r="I106" s="13"/>
      <x:c r="J106" s="13"/>
    </x:row>
    <x:row r="107">
      <x:c r="A107" s="51"/>
      <x:c r="B107" s="13"/>
      <x:c r="C107" s="13"/>
      <x:c r="D107" s="13"/>
      <x:c r="E107" s="13"/>
      <x:c r="F107" s="13"/>
      <x:c r="G107" s="13"/>
      <x:c r="H107" s="52"/>
      <x:c r="I107" s="13"/>
      <x:c r="J107" s="13"/>
    </x:row>
    <x:row r="108">
      <x:c r="A108" s="51"/>
      <x:c r="B108" s="13"/>
      <x:c r="C108" s="13"/>
      <x:c r="D108" s="13"/>
      <x:c r="E108" s="13"/>
      <x:c r="F108" s="13"/>
      <x:c r="G108" s="13"/>
      <x:c r="H108" s="52"/>
      <x:c r="I108" s="13"/>
      <x:c r="J108" s="13"/>
    </x:row>
    <x:row r="109">
      <x:c r="A109" s="51"/>
      <x:c r="B109" s="13"/>
      <x:c r="C109" s="13"/>
      <x:c r="D109" s="13"/>
      <x:c r="E109" s="13"/>
      <x:c r="F109" s="13"/>
      <x:c r="G109" s="13"/>
      <x:c r="H109" s="52"/>
      <x:c r="I109" s="13"/>
      <x:c r="J109" s="13"/>
    </x:row>
    <x:row r="110">
      <x:c r="A110" s="51"/>
      <x:c r="B110" s="13"/>
      <x:c r="C110" s="13"/>
      <x:c r="D110" s="13"/>
      <x:c r="E110" s="13"/>
      <x:c r="F110" s="13"/>
      <x:c r="G110" s="13"/>
      <x:c r="H110" s="52"/>
      <x:c r="I110" s="13"/>
      <x:c r="J110" s="13"/>
    </x:row>
    <x:row r="111">
      <x:c r="A111" s="51"/>
      <x:c r="B111" s="13"/>
      <x:c r="C111" s="13"/>
      <x:c r="D111" s="13"/>
      <x:c r="E111" s="13"/>
      <x:c r="F111" s="13"/>
      <x:c r="G111" s="13"/>
      <x:c r="H111" s="52"/>
      <x:c r="I111" s="13"/>
      <x:c r="J111" s="13"/>
    </x:row>
    <x:row r="112">
      <x:c r="A112" s="51"/>
      <x:c r="B112" s="13"/>
      <x:c r="C112" s="13"/>
      <x:c r="D112" s="13"/>
      <x:c r="E112" s="13"/>
      <x:c r="F112" s="13"/>
      <x:c r="G112" s="13"/>
      <x:c r="H112" s="52"/>
      <x:c r="I112" s="13"/>
      <x:c r="J112" s="13"/>
    </x:row>
    <x:row r="113">
      <x:c r="A113" s="51"/>
      <x:c r="B113" s="13"/>
      <x:c r="C113" s="13"/>
      <x:c r="D113" s="13"/>
      <x:c r="E113" s="13"/>
      <x:c r="F113" s="13"/>
      <x:c r="G113" s="13"/>
      <x:c r="H113" s="52"/>
      <x:c r="I113" s="13"/>
      <x:c r="J113" s="13"/>
    </x:row>
    <x:row r="114">
      <x:c r="A114" s="51"/>
      <x:c r="B114" s="13"/>
      <x:c r="C114" s="13"/>
      <x:c r="D114" s="13"/>
      <x:c r="E114" s="13"/>
      <x:c r="F114" s="13"/>
      <x:c r="G114" s="13"/>
      <x:c r="H114" s="52"/>
      <x:c r="I114" s="13"/>
      <x:c r="J114" s="13"/>
    </x:row>
    <x:row r="115">
      <x:c r="A115" s="51"/>
      <x:c r="B115" s="13"/>
      <x:c r="C115" s="13"/>
      <x:c r="D115" s="13"/>
      <x:c r="E115" s="13"/>
      <x:c r="F115" s="13"/>
      <x:c r="G115" s="13"/>
      <x:c r="H115" s="52"/>
      <x:c r="I115" s="13"/>
      <x:c r="J115" s="13"/>
    </x:row>
    <x:row r="116">
      <x:c r="A116" s="51"/>
      <x:c r="B116" s="13"/>
      <x:c r="C116" s="13"/>
      <x:c r="D116" s="13"/>
      <x:c r="E116" s="13"/>
      <x:c r="F116" s="13"/>
      <x:c r="G116" s="13"/>
      <x:c r="H116" s="52"/>
      <x:c r="I116" s="13"/>
      <x:c r="J116" s="13"/>
    </x:row>
    <x:row r="117">
      <x:c r="A117" s="51"/>
      <x:c r="B117" s="13"/>
      <x:c r="C117" s="13"/>
      <x:c r="D117" s="13"/>
      <x:c r="E117" s="13"/>
      <x:c r="F117" s="13"/>
      <x:c r="G117" s="13"/>
      <x:c r="H117" s="52"/>
      <x:c r="I117" s="13"/>
      <x:c r="J117" s="13"/>
    </x:row>
    <x:row r="118">
      <x:c r="A118" s="51"/>
      <x:c r="B118" s="13"/>
      <x:c r="C118" s="13"/>
      <x:c r="D118" s="13"/>
      <x:c r="E118" s="13"/>
      <x:c r="F118" s="13"/>
      <x:c r="G118" s="13"/>
      <x:c r="H118" s="52"/>
      <x:c r="I118" s="13"/>
      <x:c r="J118" s="13"/>
    </x:row>
    <x:row r="119">
      <x:c r="A119" s="51"/>
      <x:c r="B119" s="13"/>
      <x:c r="C119" s="13"/>
      <x:c r="D119" s="13"/>
      <x:c r="E119" s="13"/>
      <x:c r="F119" s="13"/>
      <x:c r="G119" s="13"/>
      <x:c r="H119" s="52"/>
      <x:c r="I119" s="13"/>
      <x:c r="J119" s="13"/>
    </x:row>
    <x:row r="120">
      <x:c r="A120" s="51"/>
      <x:c r="B120" s="13"/>
      <x:c r="C120" s="13"/>
      <x:c r="D120" s="13"/>
      <x:c r="E120" s="13"/>
      <x:c r="F120" s="13"/>
      <x:c r="G120" s="13"/>
      <x:c r="H120" s="52"/>
      <x:c r="I120" s="13"/>
      <x:c r="J120" s="13"/>
    </x:row>
    <x:row r="121">
      <x:c r="A121" s="51"/>
      <x:c r="B121" s="13"/>
      <x:c r="C121" s="13"/>
      <x:c r="D121" s="13"/>
      <x:c r="E121" s="13"/>
      <x:c r="F121" s="13"/>
      <x:c r="G121" s="13"/>
      <x:c r="H121" s="52"/>
      <x:c r="I121" s="13"/>
      <x:c r="J121" s="13"/>
    </x:row>
    <x:row r="122">
      <x:c r="A122" s="51"/>
      <x:c r="B122" s="13"/>
      <x:c r="C122" s="13"/>
      <x:c r="D122" s="13"/>
      <x:c r="E122" s="13"/>
      <x:c r="F122" s="13"/>
      <x:c r="G122" s="13"/>
      <x:c r="H122" s="52"/>
      <x:c r="I122" s="13"/>
      <x:c r="J122" s="13"/>
    </x:row>
    <x:row r="123">
      <x:c r="A123" s="51"/>
      <x:c r="B123" s="13"/>
      <x:c r="C123" s="13"/>
      <x:c r="D123" s="13"/>
      <x:c r="E123" s="13"/>
      <x:c r="F123" s="13"/>
      <x:c r="G123" s="13"/>
      <x:c r="H123" s="52"/>
      <x:c r="I123" s="13"/>
      <x:c r="J123" s="13"/>
    </x:row>
    <x:row r="124">
      <x:c r="A124" s="51"/>
      <x:c r="B124" s="13"/>
      <x:c r="C124" s="13"/>
      <x:c r="D124" s="13"/>
      <x:c r="E124" s="13"/>
      <x:c r="F124" s="13"/>
      <x:c r="G124" s="13"/>
      <x:c r="H124" s="52"/>
      <x:c r="I124" s="13"/>
      <x:c r="J124" s="13"/>
    </x:row>
    <x:row r="125">
      <x:c r="A125" s="51"/>
      <x:c r="B125" s="13"/>
      <x:c r="C125" s="13"/>
      <x:c r="D125" s="13"/>
      <x:c r="E125" s="13"/>
      <x:c r="F125" s="13"/>
      <x:c r="G125" s="13"/>
      <x:c r="H125" s="52"/>
      <x:c r="I125" s="13"/>
      <x:c r="J125" s="13"/>
    </x:row>
    <x:row r="126">
      <x:c r="A126" s="51"/>
      <x:c r="B126" s="13"/>
      <x:c r="C126" s="13"/>
      <x:c r="D126" s="13"/>
      <x:c r="E126" s="13"/>
      <x:c r="F126" s="13"/>
      <x:c r="G126" s="13"/>
      <x:c r="H126" s="52"/>
      <x:c r="I126" s="13"/>
      <x:c r="J126" s="13"/>
    </x:row>
    <x:row r="127">
      <x:c r="A127" s="51"/>
      <x:c r="B127" s="13"/>
      <x:c r="C127" s="13"/>
      <x:c r="D127" s="13"/>
      <x:c r="E127" s="13"/>
      <x:c r="F127" s="13"/>
      <x:c r="G127" s="13"/>
      <x:c r="H127" s="52"/>
      <x:c r="I127" s="13"/>
      <x:c r="J127" s="13"/>
    </x:row>
    <x:row r="128">
      <x:c r="A128" s="51"/>
      <x:c r="B128" s="13"/>
      <x:c r="C128" s="13"/>
      <x:c r="D128" s="13"/>
      <x:c r="E128" s="13"/>
      <x:c r="F128" s="13"/>
      <x:c r="G128" s="13"/>
      <x:c r="H128" s="52"/>
      <x:c r="I128" s="13"/>
      <x:c r="J128" s="13"/>
    </x:row>
    <x:row r="129">
      <x:c r="A129" s="51"/>
      <x:c r="B129" s="13"/>
      <x:c r="C129" s="13"/>
      <x:c r="D129" s="13"/>
      <x:c r="E129" s="13"/>
      <x:c r="F129" s="13"/>
      <x:c r="G129" s="13"/>
      <x:c r="H129" s="52"/>
      <x:c r="I129" s="13"/>
      <x:c r="J129" s="13"/>
    </x:row>
    <x:row r="130">
      <x:c r="A130" s="51"/>
      <x:c r="B130" s="13"/>
      <x:c r="C130" s="13"/>
      <x:c r="D130" s="13"/>
      <x:c r="E130" s="13"/>
      <x:c r="F130" s="13"/>
      <x:c r="G130" s="13"/>
      <x:c r="H130" s="52"/>
      <x:c r="I130" s="13"/>
      <x:c r="J130" s="13"/>
    </x:row>
    <x:row r="131">
      <x:c r="A131" s="51"/>
      <x:c r="B131" s="13"/>
      <x:c r="C131" s="13"/>
      <x:c r="D131" s="13"/>
      <x:c r="E131" s="13"/>
      <x:c r="F131" s="13"/>
      <x:c r="G131" s="13"/>
      <x:c r="H131" s="52"/>
      <x:c r="I131" s="13"/>
      <x:c r="J131" s="13"/>
    </x:row>
    <x:row r="132">
      <x:c r="A132" s="51"/>
      <x:c r="B132" s="13"/>
      <x:c r="C132" s="13"/>
      <x:c r="D132" s="13"/>
      <x:c r="E132" s="13"/>
      <x:c r="F132" s="13"/>
      <x:c r="G132" s="13"/>
      <x:c r="H132" s="52"/>
      <x:c r="I132" s="13"/>
      <x:c r="J132" s="13"/>
    </x:row>
    <x:row r="133">
      <x:c r="A133" s="51"/>
      <x:c r="B133" s="13"/>
      <x:c r="C133" s="13"/>
      <x:c r="D133" s="13"/>
      <x:c r="E133" s="13"/>
      <x:c r="F133" s="13"/>
      <x:c r="G133" s="13"/>
      <x:c r="H133" s="52"/>
      <x:c r="I133" s="13"/>
      <x:c r="J133" s="13"/>
    </x:row>
    <x:row r="134">
      <x:c r="A134" s="51"/>
      <x:c r="B134" s="13"/>
      <x:c r="C134" s="13"/>
      <x:c r="D134" s="13"/>
      <x:c r="E134" s="13"/>
      <x:c r="F134" s="13"/>
      <x:c r="G134" s="13"/>
      <x:c r="H134" s="52"/>
      <x:c r="I134" s="13"/>
      <x:c r="J134" s="13"/>
    </x:row>
    <x:row r="135">
      <x:c r="A135" s="51"/>
      <x:c r="B135" s="13"/>
      <x:c r="C135" s="13"/>
      <x:c r="D135" s="13"/>
      <x:c r="E135" s="13"/>
      <x:c r="F135" s="13"/>
      <x:c r="G135" s="13"/>
      <x:c r="H135" s="52"/>
      <x:c r="I135" s="13"/>
      <x:c r="J135" s="13"/>
    </x:row>
    <x:row r="136">
      <x:c r="A136" s="51"/>
      <x:c r="B136" s="13"/>
      <x:c r="C136" s="13"/>
      <x:c r="D136" s="13"/>
      <x:c r="E136" s="13"/>
      <x:c r="F136" s="13"/>
      <x:c r="G136" s="13"/>
      <x:c r="H136" s="52"/>
      <x:c r="I136" s="13"/>
      <x:c r="J136" s="13"/>
    </x:row>
    <x:row r="137">
      <x:c r="A137" s="51"/>
      <x:c r="B137" s="13"/>
      <x:c r="C137" s="13"/>
      <x:c r="D137" s="13"/>
      <x:c r="E137" s="13"/>
      <x:c r="F137" s="13"/>
      <x:c r="G137" s="13"/>
      <x:c r="H137" s="52"/>
      <x:c r="I137" s="13"/>
      <x:c r="J137" s="13"/>
    </x:row>
    <x:row r="138">
      <x:c r="A138" s="51"/>
      <x:c r="B138" s="13"/>
      <x:c r="C138" s="13"/>
      <x:c r="D138" s="13"/>
      <x:c r="E138" s="13"/>
      <x:c r="F138" s="13"/>
      <x:c r="G138" s="13"/>
      <x:c r="H138" s="52"/>
      <x:c r="I138" s="13"/>
      <x:c r="J138" s="13"/>
    </x:row>
    <x:row r="139">
      <x:c r="A139" s="51"/>
      <x:c r="B139" s="13"/>
      <x:c r="C139" s="13"/>
      <x:c r="D139" s="13"/>
      <x:c r="E139" s="13"/>
      <x:c r="F139" s="13"/>
      <x:c r="G139" s="13"/>
      <x:c r="H139" s="52"/>
      <x:c r="I139" s="13"/>
      <x:c r="J139" s="13"/>
    </x:row>
    <x:row r="140">
      <x:c r="A140" s="51"/>
      <x:c r="B140" s="13"/>
      <x:c r="C140" s="13"/>
      <x:c r="D140" s="13"/>
      <x:c r="E140" s="13"/>
      <x:c r="F140" s="13"/>
      <x:c r="G140" s="13"/>
      <x:c r="H140" s="52"/>
      <x:c r="I140" s="13"/>
      <x:c r="J140" s="13"/>
    </x:row>
    <x:row r="141">
      <x:c r="A141" s="51"/>
      <x:c r="B141" s="13"/>
      <x:c r="C141" s="13"/>
      <x:c r="D141" s="13"/>
      <x:c r="E141" s="13"/>
      <x:c r="F141" s="13"/>
      <x:c r="G141" s="13"/>
      <x:c r="H141" s="52"/>
      <x:c r="I141" s="13"/>
      <x:c r="J141" s="13"/>
    </x:row>
    <x:row r="142">
      <x:c r="A142" s="51"/>
      <x:c r="B142" s="13"/>
      <x:c r="C142" s="13"/>
      <x:c r="D142" s="13"/>
      <x:c r="E142" s="13"/>
      <x:c r="F142" s="13"/>
      <x:c r="G142" s="13"/>
      <x:c r="H142" s="52"/>
      <x:c r="I142" s="13"/>
      <x:c r="J142" s="13"/>
    </x:row>
    <x:row r="143">
      <x:c r="A143" s="51"/>
      <x:c r="B143" s="13"/>
      <x:c r="C143" s="13"/>
      <x:c r="D143" s="13"/>
      <x:c r="E143" s="13"/>
      <x:c r="F143" s="13"/>
      <x:c r="G143" s="13"/>
      <x:c r="H143" s="52"/>
      <x:c r="I143" s="13"/>
      <x:c r="J143" s="13"/>
    </x:row>
    <x:row r="144">
      <x:c r="A144" s="51"/>
      <x:c r="B144" s="13"/>
      <x:c r="C144" s="13"/>
      <x:c r="D144" s="13"/>
      <x:c r="E144" s="13"/>
      <x:c r="F144" s="13"/>
      <x:c r="G144" s="13"/>
      <x:c r="H144" s="52"/>
      <x:c r="I144" s="13"/>
      <x:c r="J144" s="13"/>
    </x:row>
    <x:row r="145">
      <x:c r="A145" s="51"/>
      <x:c r="B145" s="13"/>
      <x:c r="C145" s="13"/>
      <x:c r="D145" s="13"/>
      <x:c r="E145" s="13"/>
      <x:c r="F145" s="13"/>
      <x:c r="G145" s="13"/>
      <x:c r="H145" s="52"/>
      <x:c r="I145" s="13"/>
      <x:c r="J145" s="13"/>
    </x:row>
    <x:row r="146">
      <x:c r="A146" s="51"/>
      <x:c r="B146" s="13"/>
      <x:c r="C146" s="13"/>
      <x:c r="D146" s="13"/>
      <x:c r="E146" s="13"/>
      <x:c r="F146" s="13"/>
      <x:c r="G146" s="13"/>
      <x:c r="H146" s="52"/>
      <x:c r="I146" s="13"/>
      <x:c r="J146" s="13"/>
    </x:row>
    <x:row r="147">
      <x:c r="A147" s="51"/>
      <x:c r="B147" s="13"/>
      <x:c r="C147" s="13"/>
      <x:c r="D147" s="13"/>
      <x:c r="E147" s="13"/>
      <x:c r="F147" s="13"/>
      <x:c r="G147" s="13"/>
      <x:c r="H147" s="52"/>
      <x:c r="I147" s="13"/>
      <x:c r="J147" s="13"/>
    </x:row>
    <x:row r="148">
      <x:c r="A148" s="51"/>
      <x:c r="B148" s="13"/>
      <x:c r="C148" s="13"/>
      <x:c r="D148" s="13"/>
      <x:c r="E148" s="13"/>
      <x:c r="F148" s="13"/>
      <x:c r="G148" s="13"/>
      <x:c r="H148" s="52"/>
      <x:c r="I148" s="13"/>
      <x:c r="J148" s="13"/>
    </x:row>
    <x:row r="149">
      <x:c r="A149" s="51"/>
      <x:c r="B149" s="13"/>
      <x:c r="C149" s="13"/>
      <x:c r="D149" s="13"/>
      <x:c r="E149" s="13"/>
      <x:c r="F149" s="13"/>
      <x:c r="G149" s="13"/>
      <x:c r="H149" s="52"/>
      <x:c r="I149" s="13"/>
      <x:c r="J149" s="13"/>
    </x:row>
    <x:row r="150">
      <x:c r="A150" s="51"/>
      <x:c r="B150" s="13"/>
      <x:c r="C150" s="13"/>
      <x:c r="D150" s="13"/>
      <x:c r="E150" s="13"/>
      <x:c r="F150" s="13"/>
      <x:c r="G150" s="13"/>
      <x:c r="H150" s="52"/>
      <x:c r="I150" s="13"/>
      <x:c r="J150" s="13"/>
    </x:row>
    <x:row r="151">
      <x:c r="A151" s="51"/>
      <x:c r="B151" s="13"/>
      <x:c r="C151" s="13"/>
      <x:c r="D151" s="13"/>
      <x:c r="E151" s="13"/>
      <x:c r="F151" s="13"/>
      <x:c r="G151" s="13"/>
      <x:c r="H151" s="52"/>
      <x:c r="I151" s="13"/>
      <x:c r="J151" s="13"/>
    </x:row>
    <x:row r="152">
      <x:c r="A152" s="51"/>
      <x:c r="B152" s="13"/>
      <x:c r="C152" s="13"/>
      <x:c r="D152" s="13"/>
      <x:c r="E152" s="13"/>
      <x:c r="F152" s="13"/>
      <x:c r="G152" s="13"/>
      <x:c r="H152" s="52"/>
      <x:c r="I152" s="13"/>
      <x:c r="J152" s="13"/>
    </x:row>
    <x:row r="153">
      <x:c r="A153" s="51"/>
      <x:c r="B153" s="13"/>
      <x:c r="C153" s="13"/>
      <x:c r="D153" s="13"/>
      <x:c r="E153" s="13"/>
      <x:c r="F153" s="13"/>
      <x:c r="G153" s="13"/>
      <x:c r="H153" s="52"/>
      <x:c r="I153" s="13"/>
      <x:c r="J153" s="13"/>
    </x:row>
    <x:row r="154">
      <x:c r="A154" s="51"/>
      <x:c r="B154" s="13"/>
      <x:c r="C154" s="13"/>
      <x:c r="D154" s="13"/>
      <x:c r="E154" s="13"/>
      <x:c r="F154" s="13"/>
      <x:c r="G154" s="13"/>
      <x:c r="H154" s="52"/>
      <x:c r="I154" s="13"/>
      <x:c r="J154" s="13"/>
    </x:row>
    <x:row r="155">
      <x:c r="A155" s="51"/>
      <x:c r="B155" s="13"/>
      <x:c r="C155" s="13"/>
      <x:c r="D155" s="13"/>
      <x:c r="E155" s="13"/>
      <x:c r="F155" s="13"/>
      <x:c r="G155" s="13"/>
      <x:c r="H155" s="52"/>
      <x:c r="I155" s="13"/>
      <x:c r="J155" s="13"/>
    </x:row>
    <x:row r="156">
      <x:c r="A156" s="51"/>
      <x:c r="B156" s="13"/>
      <x:c r="C156" s="13"/>
      <x:c r="D156" s="13"/>
      <x:c r="E156" s="13"/>
      <x:c r="F156" s="13"/>
      <x:c r="G156" s="13"/>
      <x:c r="H156" s="52"/>
      <x:c r="I156" s="13"/>
      <x:c r="J156" s="13"/>
    </x:row>
    <x:row r="157">
      <x:c r="A157" s="51"/>
      <x:c r="B157" s="13"/>
      <x:c r="C157" s="13"/>
      <x:c r="D157" s="13"/>
      <x:c r="E157" s="13"/>
      <x:c r="F157" s="13"/>
      <x:c r="G157" s="13"/>
      <x:c r="H157" s="52"/>
      <x:c r="I157" s="13"/>
      <x:c r="J157" s="13"/>
    </x:row>
    <x:row r="158">
      <x:c r="A158" s="51"/>
      <x:c r="B158" s="13"/>
      <x:c r="C158" s="13"/>
      <x:c r="D158" s="13"/>
      <x:c r="E158" s="13"/>
      <x:c r="F158" s="13"/>
      <x:c r="G158" s="13"/>
      <x:c r="H158" s="52"/>
      <x:c r="I158" s="13"/>
      <x:c r="J158" s="13"/>
    </x:row>
    <x:row r="159">
      <x:c r="A159" s="51"/>
      <x:c r="B159" s="13"/>
      <x:c r="C159" s="13"/>
      <x:c r="D159" s="13"/>
      <x:c r="E159" s="13"/>
      <x:c r="F159" s="13"/>
      <x:c r="G159" s="13"/>
      <x:c r="H159" s="52"/>
      <x:c r="I159" s="13"/>
      <x:c r="J159" s="13"/>
    </x:row>
    <x:row r="160">
      <x:c r="A160" s="51"/>
      <x:c r="B160" s="13"/>
      <x:c r="C160" s="13"/>
      <x:c r="D160" s="13"/>
      <x:c r="E160" s="13"/>
      <x:c r="F160" s="13"/>
      <x:c r="G160" s="13"/>
      <x:c r="H160" s="52"/>
      <x:c r="I160" s="13"/>
      <x:c r="J160" s="13"/>
    </x:row>
    <x:row r="161">
      <x:c r="A161" s="51"/>
      <x:c r="B161" s="13"/>
      <x:c r="C161" s="13"/>
      <x:c r="D161" s="13"/>
      <x:c r="E161" s="13"/>
      <x:c r="F161" s="13"/>
      <x:c r="G161" s="13"/>
      <x:c r="H161" s="52"/>
      <x:c r="I161" s="13"/>
      <x:c r="J161" s="13"/>
    </x:row>
    <x:row r="162">
      <x:c r="A162" s="51"/>
      <x:c r="B162" s="13"/>
      <x:c r="C162" s="13"/>
      <x:c r="D162" s="13"/>
      <x:c r="E162" s="13"/>
      <x:c r="F162" s="13"/>
      <x:c r="G162" s="13"/>
      <x:c r="H162" s="52"/>
      <x:c r="I162" s="13"/>
      <x:c r="J162" s="13"/>
    </x:row>
    <x:row r="163">
      <x:c r="A163" s="51"/>
      <x:c r="B163" s="13"/>
      <x:c r="C163" s="13"/>
      <x:c r="D163" s="13"/>
      <x:c r="E163" s="13"/>
      <x:c r="F163" s="13"/>
      <x:c r="G163" s="13"/>
      <x:c r="H163" s="52"/>
      <x:c r="I163" s="13"/>
      <x:c r="J163" s="13"/>
    </x:row>
    <x:row r="164">
      <x:c r="A164" s="51"/>
      <x:c r="B164" s="13"/>
      <x:c r="C164" s="13"/>
      <x:c r="D164" s="13"/>
      <x:c r="E164" s="13"/>
      <x:c r="F164" s="13"/>
      <x:c r="G164" s="13"/>
      <x:c r="H164" s="52"/>
      <x:c r="I164" s="13"/>
      <x:c r="J164" s="13"/>
    </x:row>
    <x:row r="165">
      <x:c r="A165" s="51"/>
      <x:c r="B165" s="13"/>
      <x:c r="C165" s="13"/>
      <x:c r="D165" s="13"/>
      <x:c r="E165" s="13"/>
      <x:c r="F165" s="13"/>
      <x:c r="G165" s="13"/>
      <x:c r="H165" s="52"/>
      <x:c r="I165" s="13"/>
      <x:c r="J165" s="13"/>
    </x:row>
    <x:row r="166">
      <x:c r="A166" s="51"/>
      <x:c r="B166" s="13"/>
      <x:c r="C166" s="13"/>
      <x:c r="D166" s="13"/>
      <x:c r="E166" s="13"/>
      <x:c r="F166" s="13"/>
      <x:c r="G166" s="13"/>
      <x:c r="H166" s="52"/>
      <x:c r="I166" s="13"/>
      <x:c r="J166" s="13"/>
    </x:row>
    <x:row r="167">
      <x:c r="A167" s="51"/>
      <x:c r="B167" s="13"/>
      <x:c r="C167" s="13"/>
      <x:c r="D167" s="13"/>
      <x:c r="E167" s="13"/>
      <x:c r="F167" s="13"/>
      <x:c r="G167" s="13"/>
      <x:c r="H167" s="52"/>
      <x:c r="I167" s="13"/>
      <x:c r="J167" s="13"/>
    </x:row>
    <x:row r="168">
      <x:c r="A168" s="51"/>
      <x:c r="B168" s="13"/>
      <x:c r="C168" s="13"/>
      <x:c r="D168" s="13"/>
      <x:c r="E168" s="13"/>
      <x:c r="F168" s="13"/>
      <x:c r="G168" s="13"/>
      <x:c r="H168" s="52"/>
      <x:c r="I168" s="13"/>
      <x:c r="J168" s="13"/>
    </x:row>
    <x:row r="169">
      <x:c r="A169" s="51"/>
      <x:c r="B169" s="13"/>
      <x:c r="C169" s="13"/>
      <x:c r="D169" s="13"/>
      <x:c r="E169" s="13"/>
      <x:c r="F169" s="13"/>
      <x:c r="G169" s="13"/>
      <x:c r="H169" s="52"/>
      <x:c r="I169" s="13"/>
      <x:c r="J169" s="13"/>
    </x:row>
    <x:row r="170">
      <x:c r="A170" s="51"/>
      <x:c r="B170" s="13"/>
      <x:c r="C170" s="13"/>
      <x:c r="D170" s="13"/>
      <x:c r="E170" s="13"/>
      <x:c r="F170" s="13"/>
      <x:c r="G170" s="13"/>
      <x:c r="H170" s="52"/>
      <x:c r="I170" s="13"/>
      <x:c r="J170" s="13"/>
    </x:row>
    <x:row r="171">
      <x:c r="A171" s="51"/>
      <x:c r="B171" s="13"/>
      <x:c r="C171" s="13"/>
      <x:c r="D171" s="13"/>
      <x:c r="E171" s="13"/>
      <x:c r="F171" s="13"/>
      <x:c r="G171" s="13"/>
      <x:c r="H171" s="52"/>
      <x:c r="I171" s="13"/>
      <x:c r="J171" s="13"/>
    </x:row>
    <x:row r="172">
      <x:c r="A172" s="51"/>
      <x:c r="B172" s="13"/>
      <x:c r="C172" s="13"/>
      <x:c r="D172" s="13"/>
      <x:c r="E172" s="13"/>
      <x:c r="F172" s="13"/>
      <x:c r="G172" s="13"/>
      <x:c r="H172" s="52"/>
      <x:c r="I172" s="13"/>
      <x:c r="J172" s="13"/>
    </x:row>
    <x:row r="173">
      <x:c r="A173" s="51"/>
      <x:c r="B173" s="13"/>
      <x:c r="C173" s="13"/>
      <x:c r="D173" s="13"/>
      <x:c r="E173" s="13"/>
      <x:c r="F173" s="13"/>
      <x:c r="G173" s="13"/>
      <x:c r="H173" s="52"/>
      <x:c r="I173" s="13"/>
      <x:c r="J173" s="13"/>
    </x:row>
    <x:row r="174">
      <x:c r="A174" s="51"/>
      <x:c r="B174" s="13"/>
      <x:c r="C174" s="13"/>
      <x:c r="D174" s="13"/>
      <x:c r="E174" s="13"/>
      <x:c r="F174" s="13"/>
      <x:c r="G174" s="13"/>
      <x:c r="H174" s="52"/>
      <x:c r="I174" s="13"/>
      <x:c r="J174" s="13"/>
    </x:row>
    <x:row r="175">
      <x:c r="A175" s="51"/>
      <x:c r="B175" s="13"/>
      <x:c r="C175" s="13"/>
      <x:c r="D175" s="13"/>
      <x:c r="E175" s="13"/>
      <x:c r="F175" s="13"/>
      <x:c r="G175" s="13"/>
      <x:c r="H175" s="52"/>
      <x:c r="I175" s="13"/>
      <x:c r="J175" s="13"/>
    </x:row>
    <x:row r="176">
      <x:c r="A176" s="51"/>
      <x:c r="B176" s="13"/>
      <x:c r="C176" s="13"/>
      <x:c r="D176" s="13"/>
      <x:c r="E176" s="13"/>
      <x:c r="F176" s="13"/>
      <x:c r="G176" s="13"/>
      <x:c r="H176" s="52"/>
      <x:c r="I176" s="13"/>
      <x:c r="J176" s="13"/>
    </x:row>
    <x:row r="177">
      <x:c r="A177" s="51"/>
      <x:c r="B177" s="13"/>
      <x:c r="C177" s="13"/>
      <x:c r="D177" s="13"/>
      <x:c r="E177" s="13"/>
      <x:c r="F177" s="13"/>
      <x:c r="G177" s="13"/>
      <x:c r="H177" s="52"/>
      <x:c r="I177" s="13"/>
      <x:c r="J177" s="13"/>
    </x:row>
    <x:row r="178">
      <x:c r="A178" s="51"/>
      <x:c r="B178" s="13"/>
      <x:c r="C178" s="13"/>
      <x:c r="D178" s="13"/>
      <x:c r="E178" s="13"/>
      <x:c r="F178" s="13"/>
      <x:c r="G178" s="13"/>
      <x:c r="H178" s="52"/>
      <x:c r="I178" s="13"/>
      <x:c r="J178" s="13"/>
    </x:row>
    <x:row r="179">
      <x:c r="A179" s="51"/>
      <x:c r="B179" s="13"/>
      <x:c r="C179" s="13"/>
      <x:c r="D179" s="13"/>
      <x:c r="E179" s="13"/>
      <x:c r="F179" s="13"/>
      <x:c r="G179" s="13"/>
      <x:c r="H179" s="52"/>
      <x:c r="I179" s="13"/>
      <x:c r="J179" s="13"/>
    </x:row>
    <x:row r="180">
      <x:c r="A180" s="51"/>
      <x:c r="B180" s="13"/>
      <x:c r="C180" s="13"/>
      <x:c r="D180" s="13"/>
      <x:c r="E180" s="13"/>
      <x:c r="F180" s="13"/>
      <x:c r="G180" s="13"/>
      <x:c r="H180" s="52"/>
      <x:c r="I180" s="13"/>
      <x:c r="J180" s="13"/>
    </x:row>
    <x:row r="181">
      <x:c r="A181" s="51"/>
      <x:c r="B181" s="13"/>
      <x:c r="C181" s="13"/>
      <x:c r="D181" s="13"/>
      <x:c r="E181" s="13"/>
      <x:c r="F181" s="13"/>
      <x:c r="G181" s="13"/>
      <x:c r="H181" s="52"/>
      <x:c r="I181" s="13"/>
      <x:c r="J181" s="13"/>
    </x:row>
    <x:row r="182">
      <x:c r="A182" s="51"/>
      <x:c r="B182" s="13"/>
      <x:c r="C182" s="13"/>
      <x:c r="D182" s="13"/>
      <x:c r="E182" s="13"/>
      <x:c r="F182" s="13"/>
      <x:c r="G182" s="13"/>
      <x:c r="H182" s="52"/>
      <x:c r="I182" s="13"/>
      <x:c r="J182" s="13"/>
    </x:row>
    <x:row r="183">
      <x:c r="A183" s="51"/>
      <x:c r="B183" s="13"/>
      <x:c r="C183" s="13"/>
      <x:c r="D183" s="13"/>
      <x:c r="E183" s="13"/>
      <x:c r="F183" s="13"/>
      <x:c r="G183" s="13"/>
      <x:c r="H183" s="52"/>
      <x:c r="I183" s="13"/>
      <x:c r="J183" s="13"/>
    </x:row>
    <x:row r="184">
      <x:c r="A184" s="51"/>
      <x:c r="B184" s="13"/>
      <x:c r="C184" s="13"/>
      <x:c r="D184" s="13"/>
      <x:c r="E184" s="13"/>
      <x:c r="F184" s="13"/>
      <x:c r="G184" s="13"/>
      <x:c r="H184" s="52"/>
      <x:c r="I184" s="13"/>
      <x:c r="J184" s="13"/>
    </x:row>
    <x:row r="185">
      <x:c r="A185" s="51"/>
      <x:c r="B185" s="13"/>
      <x:c r="C185" s="13"/>
      <x:c r="D185" s="13"/>
      <x:c r="E185" s="13"/>
      <x:c r="F185" s="13"/>
      <x:c r="G185" s="13"/>
      <x:c r="H185" s="52"/>
      <x:c r="I185" s="13"/>
      <x:c r="J185" s="13"/>
    </x:row>
    <x:row r="186">
      <x:c r="A186" s="51"/>
      <x:c r="B186" s="13"/>
      <x:c r="C186" s="13"/>
      <x:c r="D186" s="13"/>
      <x:c r="E186" s="13"/>
      <x:c r="F186" s="13"/>
      <x:c r="G186" s="13"/>
      <x:c r="H186" s="52"/>
      <x:c r="I186" s="13"/>
      <x:c r="J186" s="13"/>
    </x:row>
    <x:row r="187">
      <x:c r="A187" s="51"/>
      <x:c r="B187" s="13"/>
      <x:c r="C187" s="13"/>
      <x:c r="D187" s="13"/>
      <x:c r="E187" s="13"/>
      <x:c r="F187" s="13"/>
      <x:c r="G187" s="13"/>
      <x:c r="H187" s="52"/>
      <x:c r="I187" s="13"/>
      <x:c r="J187" s="13"/>
    </x:row>
    <x:row r="188">
      <x:c r="A188" s="51"/>
      <x:c r="B188" s="13"/>
      <x:c r="C188" s="13"/>
      <x:c r="D188" s="13"/>
      <x:c r="E188" s="13"/>
      <x:c r="F188" s="13"/>
      <x:c r="G188" s="13"/>
      <x:c r="H188" s="52"/>
      <x:c r="I188" s="13"/>
      <x:c r="J188" s="13"/>
    </x:row>
    <x:row r="189">
      <x:c r="A189" s="51"/>
      <x:c r="B189" s="13"/>
      <x:c r="C189" s="13"/>
      <x:c r="D189" s="13"/>
      <x:c r="E189" s="13"/>
      <x:c r="F189" s="13"/>
      <x:c r="G189" s="13"/>
      <x:c r="H189" s="52"/>
      <x:c r="I189" s="13"/>
      <x:c r="J189" s="13"/>
    </x:row>
    <x:row r="190">
      <x:c r="A190" s="51"/>
      <x:c r="B190" s="13"/>
      <x:c r="C190" s="13"/>
      <x:c r="D190" s="13"/>
      <x:c r="E190" s="13"/>
      <x:c r="F190" s="13"/>
      <x:c r="G190" s="13"/>
      <x:c r="H190" s="52"/>
      <x:c r="I190" s="13"/>
      <x:c r="J190" s="13"/>
    </x:row>
    <x:row r="191">
      <x:c r="A191" s="51"/>
      <x:c r="B191" s="13"/>
      <x:c r="C191" s="13"/>
      <x:c r="D191" s="13"/>
      <x:c r="E191" s="13"/>
      <x:c r="F191" s="13"/>
      <x:c r="G191" s="13"/>
      <x:c r="H191" s="52"/>
      <x:c r="I191" s="13"/>
      <x:c r="J191" s="13"/>
    </x:row>
    <x:row r="192">
      <x:c r="A192" s="51"/>
      <x:c r="B192" s="13"/>
      <x:c r="C192" s="13"/>
      <x:c r="D192" s="13"/>
      <x:c r="E192" s="13"/>
      <x:c r="F192" s="13"/>
      <x:c r="G192" s="13"/>
      <x:c r="H192" s="52"/>
      <x:c r="I192" s="13"/>
      <x:c r="J192" s="13"/>
    </x:row>
    <x:row r="193">
      <x:c r="A193" s="51"/>
      <x:c r="B193" s="13"/>
      <x:c r="C193" s="13"/>
      <x:c r="D193" s="13"/>
      <x:c r="E193" s="13"/>
      <x:c r="F193" s="13"/>
      <x:c r="G193" s="13"/>
      <x:c r="H193" s="52"/>
      <x:c r="I193" s="13"/>
      <x:c r="J193" s="13"/>
    </x:row>
    <x:row r="194">
      <x:c r="A194" s="51"/>
      <x:c r="B194" s="13"/>
      <x:c r="C194" s="13"/>
      <x:c r="D194" s="13"/>
      <x:c r="E194" s="13"/>
      <x:c r="F194" s="13"/>
      <x:c r="G194" s="13"/>
      <x:c r="H194" s="52"/>
      <x:c r="I194" s="13"/>
      <x:c r="J194" s="13"/>
    </x:row>
    <x:row r="195">
      <x:c r="A195" s="51"/>
      <x:c r="B195" s="13"/>
      <x:c r="C195" s="13"/>
      <x:c r="D195" s="13"/>
      <x:c r="E195" s="13"/>
      <x:c r="F195" s="13"/>
      <x:c r="G195" s="13"/>
      <x:c r="H195" s="52"/>
      <x:c r="I195" s="13"/>
      <x:c r="J195" s="13"/>
    </x:row>
    <x:row r="196">
      <x:c r="A196" s="51"/>
      <x:c r="B196" s="13"/>
      <x:c r="C196" s="13"/>
      <x:c r="D196" s="13"/>
      <x:c r="E196" s="13"/>
      <x:c r="F196" s="13"/>
      <x:c r="G196" s="13"/>
      <x:c r="H196" s="52"/>
      <x:c r="I196" s="13"/>
      <x:c r="J196" s="13"/>
    </x:row>
    <x:row r="197">
      <x:c r="A197" s="51"/>
      <x:c r="B197" s="13"/>
      <x:c r="C197" s="13"/>
      <x:c r="D197" s="13"/>
      <x:c r="E197" s="13"/>
      <x:c r="F197" s="13"/>
      <x:c r="G197" s="13"/>
      <x:c r="H197" s="52"/>
      <x:c r="I197" s="13"/>
      <x:c r="J197" s="13"/>
    </x:row>
    <x:row r="198">
      <x:c r="A198" s="51"/>
      <x:c r="B198" s="13"/>
      <x:c r="C198" s="13"/>
      <x:c r="D198" s="13"/>
      <x:c r="E198" s="13"/>
      <x:c r="F198" s="13"/>
      <x:c r="G198" s="13"/>
      <x:c r="H198" s="52"/>
      <x:c r="I198" s="13"/>
      <x:c r="J198" s="13"/>
    </x:row>
    <x:row r="199">
      <x:c r="A199" s="51"/>
      <x:c r="B199" s="13"/>
      <x:c r="C199" s="13"/>
      <x:c r="D199" s="13"/>
      <x:c r="E199" s="13"/>
      <x:c r="F199" s="13"/>
      <x:c r="G199" s="13"/>
      <x:c r="H199" s="52"/>
      <x:c r="I199" s="13"/>
      <x:c r="J199" s="13"/>
    </x:row>
    <x:row r="200">
      <x:c r="A200" s="51"/>
      <x:c r="B200" s="13"/>
      <x:c r="C200" s="13"/>
      <x:c r="D200" s="13"/>
      <x:c r="E200" s="13"/>
      <x:c r="F200" s="13"/>
      <x:c r="G200" s="13"/>
      <x:c r="H200" s="52"/>
      <x:c r="I200" s="13"/>
      <x:c r="J200" s="13"/>
    </x:row>
    <x:row r="201">
      <x:c r="A201" s="51"/>
      <x:c r="B201" s="13"/>
      <x:c r="C201" s="13"/>
      <x:c r="D201" s="13"/>
      <x:c r="E201" s="13"/>
      <x:c r="F201" s="13"/>
      <x:c r="G201" s="13"/>
      <x:c r="H201" s="52"/>
      <x:c r="I201" s="13"/>
      <x:c r="J201" s="13"/>
    </x:row>
    <x:row r="202">
      <x:c r="A202" s="51"/>
      <x:c r="B202" s="13"/>
      <x:c r="C202" s="13"/>
      <x:c r="D202" s="13"/>
      <x:c r="E202" s="13"/>
      <x:c r="F202" s="13"/>
      <x:c r="G202" s="13"/>
      <x:c r="H202" s="52"/>
      <x:c r="I202" s="13"/>
      <x:c r="J202" s="13"/>
    </x:row>
    <x:row r="203">
      <x:c r="A203" s="51"/>
      <x:c r="B203" s="13"/>
      <x:c r="C203" s="13"/>
      <x:c r="D203" s="13"/>
      <x:c r="E203" s="13"/>
      <x:c r="F203" s="13"/>
      <x:c r="G203" s="13"/>
      <x:c r="H203" s="52"/>
      <x:c r="I203" s="13"/>
      <x:c r="J203" s="13"/>
    </x:row>
    <x:row r="204">
      <x:c r="A204" s="51"/>
      <x:c r="B204" s="13"/>
      <x:c r="C204" s="13"/>
      <x:c r="D204" s="13"/>
      <x:c r="E204" s="13"/>
      <x:c r="F204" s="13"/>
      <x:c r="G204" s="13"/>
      <x:c r="H204" s="52"/>
      <x:c r="I204" s="13"/>
      <x:c r="J204" s="13"/>
    </x:row>
    <x:row r="205">
      <x:c r="A205" s="51"/>
      <x:c r="B205" s="13"/>
      <x:c r="C205" s="13"/>
      <x:c r="D205" s="13"/>
      <x:c r="E205" s="13"/>
      <x:c r="F205" s="13"/>
      <x:c r="G205" s="13"/>
      <x:c r="H205" s="52"/>
      <x:c r="I205" s="13"/>
      <x:c r="J205" s="13"/>
    </x:row>
    <x:row r="206">
      <x:c r="A206" s="51"/>
      <x:c r="B206" s="13"/>
      <x:c r="C206" s="13"/>
      <x:c r="D206" s="13"/>
      <x:c r="E206" s="13"/>
      <x:c r="F206" s="13"/>
      <x:c r="G206" s="13"/>
      <x:c r="H206" s="52"/>
      <x:c r="I206" s="13"/>
      <x:c r="J206" s="13"/>
    </x:row>
    <x:row r="207">
      <x:c r="A207" s="51"/>
      <x:c r="B207" s="13"/>
      <x:c r="C207" s="13"/>
      <x:c r="D207" s="13"/>
      <x:c r="E207" s="13"/>
      <x:c r="F207" s="13"/>
      <x:c r="G207" s="13"/>
      <x:c r="H207" s="52"/>
      <x:c r="I207" s="13"/>
      <x:c r="J207" s="13"/>
    </x:row>
    <x:row r="208">
      <x:c r="A208" s="51"/>
      <x:c r="B208" s="13"/>
      <x:c r="C208" s="13"/>
      <x:c r="D208" s="13"/>
      <x:c r="E208" s="13"/>
      <x:c r="F208" s="13"/>
      <x:c r="G208" s="13"/>
      <x:c r="H208" s="52"/>
      <x:c r="I208" s="13"/>
      <x:c r="J208" s="13"/>
    </x:row>
    <x:row r="209">
      <x:c r="A209" s="51"/>
      <x:c r="B209" s="13"/>
      <x:c r="C209" s="13"/>
      <x:c r="D209" s="13"/>
      <x:c r="E209" s="13"/>
      <x:c r="F209" s="13"/>
      <x:c r="G209" s="13"/>
      <x:c r="H209" s="52"/>
      <x:c r="I209" s="13"/>
      <x:c r="J209" s="13"/>
    </x:row>
    <x:row r="210">
      <x:c r="A210" s="51"/>
      <x:c r="B210" s="13"/>
      <x:c r="C210" s="13"/>
      <x:c r="D210" s="13"/>
      <x:c r="E210" s="13"/>
      <x:c r="F210" s="13"/>
      <x:c r="G210" s="13"/>
      <x:c r="H210" s="52"/>
      <x:c r="I210" s="13"/>
      <x:c r="J210" s="13"/>
    </x:row>
    <x:row r="211">
      <x:c r="A211" s="51"/>
      <x:c r="B211" s="13"/>
      <x:c r="C211" s="13"/>
      <x:c r="D211" s="13"/>
      <x:c r="E211" s="13"/>
      <x:c r="F211" s="13"/>
      <x:c r="G211" s="13"/>
      <x:c r="H211" s="52"/>
      <x:c r="I211" s="13"/>
      <x:c r="J211" s="13"/>
    </x:row>
    <x:row r="212">
      <x:c r="A212" s="51"/>
      <x:c r="B212" s="13"/>
      <x:c r="C212" s="13"/>
      <x:c r="D212" s="13"/>
      <x:c r="E212" s="13"/>
      <x:c r="F212" s="13"/>
      <x:c r="G212" s="13"/>
      <x:c r="H212" s="52"/>
      <x:c r="I212" s="13"/>
      <x:c r="J212" s="13"/>
    </x:row>
    <x:row r="213">
      <x:c r="A213" s="51"/>
      <x:c r="B213" s="13"/>
      <x:c r="C213" s="13"/>
      <x:c r="D213" s="13"/>
      <x:c r="E213" s="13"/>
      <x:c r="F213" s="13"/>
      <x:c r="G213" s="13"/>
      <x:c r="H213" s="52"/>
      <x:c r="I213" s="13"/>
      <x:c r="J213" s="13"/>
    </x:row>
    <x:row r="214">
      <x:c r="A214" s="51"/>
      <x:c r="B214" s="13"/>
      <x:c r="C214" s="13"/>
      <x:c r="D214" s="13"/>
      <x:c r="E214" s="13"/>
      <x:c r="F214" s="13"/>
      <x:c r="G214" s="13"/>
      <x:c r="H214" s="52"/>
      <x:c r="I214" s="13"/>
      <x:c r="J214" s="13"/>
    </x:row>
    <x:row r="215">
      <x:c r="A215" s="51"/>
      <x:c r="B215" s="13"/>
      <x:c r="C215" s="13"/>
      <x:c r="D215" s="13"/>
      <x:c r="E215" s="13"/>
      <x:c r="F215" s="13"/>
      <x:c r="G215" s="13"/>
      <x:c r="H215" s="52"/>
      <x:c r="I215" s="13"/>
      <x:c r="J215" s="13"/>
    </x:row>
    <x:row r="216">
      <x:c r="A216" s="51"/>
      <x:c r="B216" s="13"/>
      <x:c r="C216" s="13"/>
      <x:c r="D216" s="13"/>
      <x:c r="E216" s="13"/>
      <x:c r="F216" s="13"/>
      <x:c r="G216" s="13"/>
      <x:c r="H216" s="52"/>
      <x:c r="I216" s="13"/>
      <x:c r="J216" s="13"/>
    </x:row>
    <x:row r="217">
      <x:c r="A217" s="51"/>
      <x:c r="B217" s="13"/>
      <x:c r="C217" s="13"/>
      <x:c r="D217" s="13"/>
      <x:c r="E217" s="13"/>
      <x:c r="F217" s="13"/>
      <x:c r="G217" s="13"/>
      <x:c r="H217" s="52"/>
      <x:c r="I217" s="13"/>
      <x:c r="J217" s="13"/>
    </x:row>
    <x:row r="218">
      <x:c r="A218" s="51"/>
      <x:c r="B218" s="13"/>
      <x:c r="C218" s="13"/>
      <x:c r="D218" s="13"/>
      <x:c r="E218" s="13"/>
      <x:c r="F218" s="13"/>
      <x:c r="G218" s="13"/>
      <x:c r="H218" s="52"/>
      <x:c r="I218" s="13"/>
      <x:c r="J218" s="13"/>
    </x:row>
    <x:row r="219">
      <x:c r="A219" s="51"/>
      <x:c r="B219" s="13"/>
      <x:c r="C219" s="13"/>
      <x:c r="D219" s="13"/>
      <x:c r="E219" s="13"/>
      <x:c r="F219" s="13"/>
      <x:c r="G219" s="13"/>
      <x:c r="H219" s="52"/>
      <x:c r="I219" s="13"/>
      <x:c r="J219" s="13"/>
    </x:row>
    <x:row r="220">
      <x:c r="A220" s="51"/>
      <x:c r="B220" s="13"/>
      <x:c r="C220" s="13"/>
      <x:c r="D220" s="13"/>
      <x:c r="E220" s="13"/>
      <x:c r="F220" s="13"/>
      <x:c r="G220" s="13"/>
      <x:c r="H220" s="52"/>
      <x:c r="I220" s="13"/>
      <x:c r="J220" s="13"/>
    </x:row>
    <x:row r="221">
      <x:c r="A221" s="51"/>
      <x:c r="B221" s="13"/>
      <x:c r="C221" s="13"/>
      <x:c r="D221" s="13"/>
      <x:c r="E221" s="13"/>
      <x:c r="F221" s="13"/>
      <x:c r="G221" s="13"/>
      <x:c r="H221" s="52"/>
      <x:c r="I221" s="13"/>
      <x:c r="J221" s="13"/>
    </x:row>
    <x:row r="222">
      <x:c r="A222" s="51"/>
      <x:c r="B222" s="13"/>
      <x:c r="C222" s="13"/>
      <x:c r="D222" s="13"/>
      <x:c r="E222" s="13"/>
      <x:c r="F222" s="13"/>
      <x:c r="G222" s="13"/>
      <x:c r="H222" s="52"/>
      <x:c r="I222" s="13"/>
      <x:c r="J222" s="13"/>
    </x:row>
    <x:row r="223">
      <x:c r="A223" s="51"/>
      <x:c r="B223" s="13"/>
      <x:c r="C223" s="13"/>
      <x:c r="D223" s="13"/>
      <x:c r="E223" s="13"/>
      <x:c r="F223" s="13"/>
      <x:c r="G223" s="13"/>
      <x:c r="H223" s="52"/>
      <x:c r="I223" s="13"/>
      <x:c r="J223" s="13"/>
    </x:row>
    <x:row r="224">
      <x:c r="A224" s="51"/>
      <x:c r="B224" s="13"/>
      <x:c r="C224" s="13"/>
      <x:c r="D224" s="13"/>
      <x:c r="E224" s="13"/>
      <x:c r="F224" s="13"/>
      <x:c r="G224" s="13"/>
      <x:c r="H224" s="52"/>
      <x:c r="I224" s="13"/>
      <x:c r="J224" s="13"/>
    </x:row>
    <x:row r="225">
      <x:c r="A225" s="51"/>
      <x:c r="B225" s="13"/>
      <x:c r="C225" s="13"/>
      <x:c r="D225" s="13"/>
      <x:c r="E225" s="13"/>
      <x:c r="F225" s="13"/>
      <x:c r="G225" s="13"/>
      <x:c r="H225" s="52"/>
      <x:c r="I225" s="13"/>
      <x:c r="J225" s="13"/>
    </x:row>
    <x:row r="226">
      <x:c r="A226" s="51"/>
      <x:c r="B226" s="13"/>
      <x:c r="C226" s="13"/>
      <x:c r="D226" s="13"/>
      <x:c r="E226" s="13"/>
      <x:c r="F226" s="13"/>
      <x:c r="G226" s="13"/>
      <x:c r="H226" s="52"/>
      <x:c r="I226" s="13"/>
      <x:c r="J226" s="13"/>
    </x:row>
    <x:row r="227">
      <x:c r="A227" s="51"/>
      <x:c r="B227" s="13"/>
      <x:c r="C227" s="13"/>
      <x:c r="D227" s="13"/>
      <x:c r="E227" s="13"/>
      <x:c r="F227" s="13"/>
      <x:c r="G227" s="13"/>
      <x:c r="H227" s="52"/>
      <x:c r="I227" s="13"/>
      <x:c r="J227" s="13"/>
    </x:row>
    <x:row r="228">
      <x:c r="A228" s="51"/>
      <x:c r="B228" s="13"/>
      <x:c r="C228" s="13"/>
      <x:c r="D228" s="13"/>
      <x:c r="E228" s="13"/>
      <x:c r="F228" s="13"/>
      <x:c r="G228" s="13"/>
      <x:c r="H228" s="52"/>
      <x:c r="I228" s="13"/>
      <x:c r="J228" s="13"/>
    </x:row>
    <x:row r="229">
      <x:c r="A229" s="51"/>
      <x:c r="B229" s="13"/>
      <x:c r="C229" s="13"/>
      <x:c r="D229" s="13"/>
      <x:c r="E229" s="13"/>
      <x:c r="F229" s="13"/>
      <x:c r="G229" s="13"/>
      <x:c r="H229" s="52"/>
      <x:c r="I229" s="13"/>
      <x:c r="J229" s="13"/>
    </x:row>
    <x:row r="230">
      <x:c r="A230" s="51"/>
      <x:c r="B230" s="13"/>
      <x:c r="C230" s="13"/>
      <x:c r="D230" s="13"/>
      <x:c r="E230" s="13"/>
      <x:c r="F230" s="13"/>
      <x:c r="G230" s="13"/>
      <x:c r="H230" s="52"/>
      <x:c r="I230" s="13"/>
      <x:c r="J230" s="13"/>
    </x:row>
    <x:row r="231">
      <x:c r="A231" s="51"/>
      <x:c r="B231" s="13"/>
      <x:c r="C231" s="13"/>
      <x:c r="D231" s="13"/>
      <x:c r="E231" s="13"/>
      <x:c r="F231" s="13"/>
      <x:c r="G231" s="13"/>
      <x:c r="H231" s="52"/>
      <x:c r="I231" s="13"/>
      <x:c r="J231" s="13"/>
    </x:row>
    <x:row r="232">
      <x:c r="A232" s="51"/>
      <x:c r="B232" s="13"/>
      <x:c r="C232" s="13"/>
      <x:c r="D232" s="13"/>
      <x:c r="E232" s="13"/>
      <x:c r="F232" s="13"/>
      <x:c r="G232" s="13"/>
      <x:c r="H232" s="52"/>
      <x:c r="I232" s="13"/>
      <x:c r="J232" s="13"/>
    </x:row>
    <x:row r="233">
      <x:c r="A233" s="51"/>
      <x:c r="B233" s="13"/>
      <x:c r="C233" s="13"/>
      <x:c r="D233" s="13"/>
      <x:c r="E233" s="13"/>
      <x:c r="F233" s="13"/>
      <x:c r="G233" s="13"/>
      <x:c r="H233" s="52"/>
      <x:c r="I233" s="13"/>
      <x:c r="J233" s="13"/>
    </x:row>
    <x:row r="234">
      <x:c r="A234" s="51"/>
      <x:c r="B234" s="13"/>
      <x:c r="C234" s="13"/>
      <x:c r="D234" s="13"/>
      <x:c r="E234" s="13"/>
      <x:c r="F234" s="13"/>
      <x:c r="G234" s="13"/>
      <x:c r="H234" s="52"/>
      <x:c r="I234" s="13"/>
      <x:c r="J234" s="13"/>
    </x:row>
    <x:row r="235">
      <x:c r="A235" s="51"/>
      <x:c r="B235" s="13"/>
      <x:c r="C235" s="13"/>
      <x:c r="D235" s="13"/>
      <x:c r="E235" s="13"/>
      <x:c r="F235" s="13"/>
      <x:c r="G235" s="13"/>
      <x:c r="H235" s="52"/>
      <x:c r="I235" s="13"/>
      <x:c r="J235" s="13"/>
    </x:row>
    <x:row r="236">
      <x:c r="A236" s="51"/>
      <x:c r="B236" s="13"/>
      <x:c r="C236" s="13"/>
      <x:c r="D236" s="13"/>
      <x:c r="E236" s="13"/>
      <x:c r="F236" s="13"/>
      <x:c r="G236" s="13"/>
      <x:c r="H236" s="52"/>
      <x:c r="I236" s="13"/>
      <x:c r="J236" s="13"/>
    </x:row>
    <x:row r="237">
      <x:c r="A237" s="51"/>
      <x:c r="B237" s="13"/>
      <x:c r="C237" s="13"/>
      <x:c r="D237" s="13"/>
      <x:c r="E237" s="13"/>
      <x:c r="F237" s="13"/>
      <x:c r="G237" s="13"/>
      <x:c r="H237" s="52"/>
      <x:c r="I237" s="13"/>
      <x:c r="J237" s="13"/>
    </x:row>
    <x:row r="238">
      <x:c r="A238" s="51"/>
      <x:c r="B238" s="13"/>
      <x:c r="C238" s="13"/>
      <x:c r="D238" s="13"/>
      <x:c r="E238" s="13"/>
      <x:c r="F238" s="13"/>
      <x:c r="G238" s="13"/>
      <x:c r="H238" s="52"/>
      <x:c r="I238" s="13"/>
      <x:c r="J238" s="13"/>
    </x:row>
    <x:row r="239">
      <x:c r="A239" s="51"/>
      <x:c r="B239" s="13"/>
      <x:c r="C239" s="13"/>
      <x:c r="D239" s="13"/>
      <x:c r="E239" s="13"/>
      <x:c r="F239" s="13"/>
      <x:c r="G239" s="13"/>
      <x:c r="H239" s="52"/>
      <x:c r="I239" s="13"/>
      <x:c r="J239" s="13"/>
    </x:row>
    <x:row r="240">
      <x:c r="A240" s="51"/>
      <x:c r="B240" s="13"/>
      <x:c r="C240" s="13"/>
      <x:c r="D240" s="13"/>
      <x:c r="E240" s="13"/>
      <x:c r="F240" s="13"/>
      <x:c r="G240" s="13"/>
      <x:c r="H240" s="52"/>
      <x:c r="I240" s="13"/>
      <x:c r="J240" s="13"/>
    </x:row>
    <x:row r="241">
      <x:c r="A241" s="51"/>
      <x:c r="B241" s="13"/>
      <x:c r="C241" s="13"/>
      <x:c r="D241" s="13"/>
      <x:c r="E241" s="13"/>
      <x:c r="F241" s="13"/>
      <x:c r="G241" s="13"/>
      <x:c r="H241" s="52"/>
      <x:c r="I241" s="13"/>
      <x:c r="J241" s="13"/>
    </x:row>
    <x:row r="242">
      <x:c r="A242" s="51"/>
      <x:c r="B242" s="13"/>
      <x:c r="C242" s="13"/>
      <x:c r="D242" s="13"/>
      <x:c r="E242" s="13"/>
      <x:c r="F242" s="13"/>
      <x:c r="G242" s="13"/>
      <x:c r="H242" s="52"/>
      <x:c r="I242" s="13"/>
      <x:c r="J242" s="13"/>
    </x:row>
    <x:row r="243">
      <x:c r="A243" s="51"/>
      <x:c r="B243" s="13"/>
      <x:c r="C243" s="13"/>
      <x:c r="D243" s="13"/>
      <x:c r="E243" s="13"/>
      <x:c r="F243" s="13"/>
      <x:c r="G243" s="13"/>
      <x:c r="H243" s="52"/>
      <x:c r="I243" s="13"/>
      <x:c r="J243" s="13"/>
    </x:row>
    <x:row r="244">
      <x:c r="A244" s="51"/>
      <x:c r="B244" s="13"/>
      <x:c r="C244" s="13"/>
      <x:c r="D244" s="13"/>
      <x:c r="E244" s="13"/>
      <x:c r="F244" s="13"/>
      <x:c r="G244" s="13"/>
      <x:c r="H244" s="52"/>
      <x:c r="I244" s="13"/>
      <x:c r="J244" s="13"/>
    </x:row>
    <x:row r="245">
      <x:c r="A245" s="51"/>
      <x:c r="B245" s="13"/>
      <x:c r="C245" s="13"/>
      <x:c r="D245" s="13"/>
      <x:c r="E245" s="13"/>
      <x:c r="F245" s="13"/>
      <x:c r="G245" s="13"/>
      <x:c r="H245" s="52"/>
      <x:c r="I245" s="13"/>
      <x:c r="J245" s="13"/>
    </x:row>
    <x:row r="246">
      <x:c r="A246" s="51"/>
      <x:c r="B246" s="13"/>
      <x:c r="C246" s="13"/>
      <x:c r="D246" s="13"/>
      <x:c r="E246" s="13"/>
      <x:c r="F246" s="13"/>
      <x:c r="G246" s="13"/>
      <x:c r="H246" s="52"/>
      <x:c r="I246" s="13"/>
      <x:c r="J246" s="13"/>
    </x:row>
    <x:row r="247">
      <x:c r="A247" s="51"/>
      <x:c r="B247" s="13"/>
      <x:c r="C247" s="13"/>
      <x:c r="D247" s="13"/>
      <x:c r="E247" s="13"/>
      <x:c r="F247" s="13"/>
      <x:c r="G247" s="13"/>
      <x:c r="H247" s="52"/>
      <x:c r="I247" s="13"/>
      <x:c r="J247" s="13"/>
    </x:row>
    <x:row r="248">
      <x:c r="A248" s="51"/>
      <x:c r="B248" s="13"/>
      <x:c r="C248" s="13"/>
      <x:c r="D248" s="13"/>
      <x:c r="E248" s="13"/>
      <x:c r="F248" s="13"/>
      <x:c r="G248" s="13"/>
      <x:c r="H248" s="52"/>
      <x:c r="I248" s="13"/>
      <x:c r="J248" s="13"/>
    </x:row>
    <x:row r="249">
      <x:c r="A249" s="51"/>
      <x:c r="B249" s="13"/>
      <x:c r="C249" s="13"/>
      <x:c r="D249" s="13"/>
      <x:c r="E249" s="13"/>
      <x:c r="F249" s="13"/>
      <x:c r="G249" s="13"/>
      <x:c r="H249" s="52"/>
      <x:c r="I249" s="13"/>
      <x:c r="J249" s="13"/>
    </x:row>
    <x:row r="250">
      <x:c r="A250" s="51"/>
      <x:c r="B250" s="13"/>
      <x:c r="C250" s="13"/>
      <x:c r="D250" s="13"/>
      <x:c r="E250" s="13"/>
      <x:c r="F250" s="13"/>
      <x:c r="G250" s="13"/>
      <x:c r="H250" s="52"/>
      <x:c r="I250" s="13"/>
      <x:c r="J250" s="13"/>
    </x:row>
    <x:row r="251">
      <x:c r="A251" s="51"/>
      <x:c r="B251" s="13"/>
      <x:c r="C251" s="13"/>
      <x:c r="D251" s="13"/>
      <x:c r="E251" s="13"/>
      <x:c r="F251" s="13"/>
      <x:c r="G251" s="13"/>
      <x:c r="H251" s="52"/>
      <x:c r="I251" s="13"/>
      <x:c r="J251" s="13"/>
    </x:row>
    <x:row r="252">
      <x:c r="A252" s="51"/>
      <x:c r="B252" s="13"/>
      <x:c r="C252" s="13"/>
      <x:c r="D252" s="13"/>
      <x:c r="E252" s="13"/>
      <x:c r="F252" s="13"/>
      <x:c r="G252" s="13"/>
      <x:c r="H252" s="52"/>
      <x:c r="I252" s="13"/>
      <x:c r="J252" s="13"/>
    </x:row>
    <x:row r="253">
      <x:c r="A253" s="51"/>
      <x:c r="B253" s="13"/>
      <x:c r="C253" s="13"/>
      <x:c r="D253" s="13"/>
      <x:c r="E253" s="13"/>
      <x:c r="F253" s="13"/>
      <x:c r="G253" s="13"/>
      <x:c r="H253" s="52"/>
      <x:c r="I253" s="13"/>
      <x:c r="J253" s="13"/>
    </x:row>
    <x:row r="254">
      <x:c r="A254" s="51"/>
      <x:c r="B254" s="13"/>
      <x:c r="C254" s="13"/>
      <x:c r="D254" s="13"/>
      <x:c r="E254" s="13"/>
      <x:c r="F254" s="13"/>
      <x:c r="G254" s="13"/>
      <x:c r="H254" s="52"/>
      <x:c r="I254" s="13"/>
      <x:c r="J254" s="13"/>
    </x:row>
    <x:row r="255">
      <x:c r="A255" s="51"/>
      <x:c r="B255" s="13"/>
      <x:c r="C255" s="13"/>
      <x:c r="D255" s="13"/>
      <x:c r="E255" s="13"/>
      <x:c r="F255" s="13"/>
      <x:c r="G255" s="13"/>
      <x:c r="H255" s="52"/>
      <x:c r="I255" s="13"/>
      <x:c r="J255" s="13"/>
    </x:row>
    <x:row r="256">
      <x:c r="A256" s="51"/>
      <x:c r="B256" s="13"/>
      <x:c r="C256" s="13"/>
      <x:c r="D256" s="13"/>
      <x:c r="E256" s="13"/>
      <x:c r="F256" s="13"/>
      <x:c r="G256" s="13"/>
      <x:c r="H256" s="52"/>
      <x:c r="I256" s="13"/>
      <x:c r="J256" s="13"/>
    </x:row>
    <x:row r="257">
      <x:c r="A257" s="51"/>
      <x:c r="B257" s="13"/>
      <x:c r="C257" s="13"/>
      <x:c r="D257" s="13"/>
      <x:c r="E257" s="13"/>
      <x:c r="F257" s="13"/>
      <x:c r="G257" s="13"/>
      <x:c r="H257" s="52"/>
      <x:c r="I257" s="13"/>
      <x:c r="J257" s="13"/>
    </x:row>
    <x:row r="258">
      <x:c r="A258" s="51"/>
      <x:c r="B258" s="13"/>
      <x:c r="C258" s="13"/>
      <x:c r="D258" s="13"/>
      <x:c r="E258" s="13"/>
      <x:c r="F258" s="13"/>
      <x:c r="G258" s="13"/>
      <x:c r="H258" s="52"/>
      <x:c r="I258" s="13"/>
      <x:c r="J258" s="13"/>
    </x:row>
    <x:row r="259">
      <x:c r="A259" s="51"/>
      <x:c r="B259" s="13"/>
      <x:c r="C259" s="13"/>
      <x:c r="D259" s="13"/>
      <x:c r="E259" s="13"/>
      <x:c r="F259" s="13"/>
      <x:c r="G259" s="13"/>
      <x:c r="H259" s="52"/>
      <x:c r="I259" s="13"/>
      <x:c r="J259" s="13"/>
    </x:row>
    <x:row r="260">
      <x:c r="A260" s="51"/>
      <x:c r="B260" s="13"/>
      <x:c r="C260" s="13"/>
      <x:c r="D260" s="13"/>
      <x:c r="E260" s="13"/>
      <x:c r="F260" s="13"/>
      <x:c r="G260" s="13"/>
      <x:c r="H260" s="52"/>
      <x:c r="I260" s="13"/>
      <x:c r="J260" s="13"/>
    </x:row>
    <x:row r="261">
      <x:c r="A261" s="51"/>
      <x:c r="B261" s="13"/>
      <x:c r="C261" s="13"/>
      <x:c r="D261" s="13"/>
      <x:c r="E261" s="13"/>
      <x:c r="F261" s="13"/>
      <x:c r="G261" s="13"/>
      <x:c r="H261" s="52"/>
      <x:c r="I261" s="13"/>
      <x:c r="J261" s="13"/>
    </x:row>
    <x:row r="262">
      <x:c r="A262" s="51"/>
      <x:c r="B262" s="13"/>
      <x:c r="C262" s="13"/>
      <x:c r="D262" s="13"/>
      <x:c r="E262" s="13"/>
      <x:c r="F262" s="13"/>
      <x:c r="G262" s="13"/>
      <x:c r="H262" s="52"/>
      <x:c r="I262" s="13"/>
      <x:c r="J262" s="13"/>
    </x:row>
    <x:row r="263">
      <x:c r="A263" s="51"/>
      <x:c r="B263" s="13"/>
      <x:c r="C263" s="13"/>
      <x:c r="D263" s="13"/>
      <x:c r="E263" s="13"/>
      <x:c r="F263" s="13"/>
      <x:c r="G263" s="13"/>
      <x:c r="H263" s="52"/>
      <x:c r="I263" s="13"/>
      <x:c r="J263" s="13"/>
    </x:row>
    <x:row r="264">
      <x:c r="A264" s="51"/>
      <x:c r="B264" s="13"/>
      <x:c r="C264" s="13"/>
      <x:c r="D264" s="13"/>
      <x:c r="E264" s="13"/>
      <x:c r="F264" s="13"/>
      <x:c r="G264" s="13"/>
      <x:c r="H264" s="52"/>
      <x:c r="I264" s="13"/>
      <x:c r="J264" s="13"/>
    </x:row>
    <x:row r="265">
      <x:c r="A265" s="51"/>
      <x:c r="B265" s="13"/>
      <x:c r="C265" s="13"/>
      <x:c r="D265" s="13"/>
      <x:c r="E265" s="13"/>
      <x:c r="F265" s="13"/>
      <x:c r="G265" s="13"/>
      <x:c r="H265" s="52"/>
      <x:c r="I265" s="13"/>
      <x:c r="J265" s="13"/>
    </x:row>
    <x:row r="266">
      <x:c r="A266" s="51"/>
      <x:c r="B266" s="13"/>
      <x:c r="C266" s="13"/>
      <x:c r="D266" s="13"/>
      <x:c r="E266" s="13"/>
      <x:c r="F266" s="13"/>
      <x:c r="G266" s="13"/>
      <x:c r="H266" s="52"/>
      <x:c r="I266" s="13"/>
      <x:c r="J266" s="13"/>
    </x:row>
    <x:row r="267">
      <x:c r="A267" s="51"/>
      <x:c r="B267" s="13"/>
      <x:c r="C267" s="13"/>
      <x:c r="D267" s="13"/>
      <x:c r="E267" s="13"/>
      <x:c r="F267" s="13"/>
      <x:c r="G267" s="13"/>
      <x:c r="H267" s="52"/>
      <x:c r="I267" s="13"/>
      <x:c r="J267" s="13"/>
    </x:row>
    <x:row r="268">
      <x:c r="A268" s="51"/>
      <x:c r="B268" s="13"/>
      <x:c r="C268" s="13"/>
      <x:c r="D268" s="13"/>
      <x:c r="E268" s="13"/>
      <x:c r="F268" s="13"/>
      <x:c r="G268" s="13"/>
      <x:c r="H268" s="52"/>
      <x:c r="I268" s="13"/>
      <x:c r="J268" s="13"/>
    </x:row>
    <x:row r="269">
      <x:c r="A269" s="51"/>
      <x:c r="B269" s="13"/>
      <x:c r="C269" s="13"/>
      <x:c r="D269" s="13"/>
      <x:c r="E269" s="13"/>
      <x:c r="F269" s="13"/>
      <x:c r="G269" s="13"/>
      <x:c r="H269" s="52"/>
      <x:c r="I269" s="13"/>
      <x:c r="J269" s="13"/>
    </x:row>
    <x:row r="270">
      <x:c r="A270" s="51"/>
      <x:c r="B270" s="13"/>
      <x:c r="C270" s="13"/>
      <x:c r="D270" s="13"/>
      <x:c r="E270" s="13"/>
      <x:c r="F270" s="13"/>
      <x:c r="G270" s="13"/>
      <x:c r="H270" s="52"/>
      <x:c r="I270" s="13"/>
      <x:c r="J270" s="13"/>
    </x:row>
    <x:row r="271">
      <x:c r="A271" s="51"/>
      <x:c r="B271" s="13"/>
      <x:c r="C271" s="13"/>
      <x:c r="D271" s="13"/>
      <x:c r="E271" s="13"/>
      <x:c r="F271" s="13"/>
      <x:c r="G271" s="13"/>
      <x:c r="H271" s="52"/>
      <x:c r="I271" s="13"/>
      <x:c r="J271" s="13"/>
    </x:row>
    <x:row r="272">
      <x:c r="A272" s="51"/>
      <x:c r="B272" s="13"/>
      <x:c r="C272" s="13"/>
      <x:c r="D272" s="13"/>
      <x:c r="E272" s="13"/>
      <x:c r="F272" s="13"/>
      <x:c r="G272" s="13"/>
      <x:c r="H272" s="52"/>
      <x:c r="I272" s="13"/>
      <x:c r="J272" s="13"/>
    </x:row>
    <x:row r="273">
      <x:c r="A273" s="51"/>
      <x:c r="B273" s="13"/>
      <x:c r="C273" s="13"/>
      <x:c r="D273" s="13"/>
      <x:c r="E273" s="13"/>
      <x:c r="F273" s="13"/>
      <x:c r="G273" s="13"/>
      <x:c r="H273" s="52"/>
      <x:c r="I273" s="13"/>
      <x:c r="J273" s="13"/>
    </x:row>
    <x:row r="274">
      <x:c r="A274" s="51"/>
      <x:c r="B274" s="13"/>
      <x:c r="C274" s="13"/>
      <x:c r="D274" s="13"/>
      <x:c r="E274" s="13"/>
      <x:c r="F274" s="13"/>
      <x:c r="G274" s="13"/>
      <x:c r="H274" s="52"/>
      <x:c r="I274" s="13"/>
      <x:c r="J274" s="13"/>
    </x:row>
    <x:row r="275">
      <x:c r="A275" s="51"/>
      <x:c r="B275" s="13"/>
      <x:c r="C275" s="13"/>
      <x:c r="D275" s="13"/>
      <x:c r="E275" s="13"/>
      <x:c r="F275" s="13"/>
      <x:c r="G275" s="13"/>
      <x:c r="H275" s="52"/>
      <x:c r="I275" s="13"/>
      <x:c r="J275" s="13"/>
    </x:row>
    <x:row r="276">
      <x:c r="A276" s="51"/>
      <x:c r="B276" s="13"/>
      <x:c r="C276" s="13"/>
      <x:c r="D276" s="13"/>
      <x:c r="E276" s="13"/>
      <x:c r="F276" s="13"/>
      <x:c r="G276" s="13"/>
      <x:c r="H276" s="52"/>
      <x:c r="I276" s="13"/>
      <x:c r="J276" s="13"/>
    </x:row>
    <x:row r="277">
      <x:c r="A277" s="51"/>
      <x:c r="B277" s="13"/>
      <x:c r="C277" s="13"/>
      <x:c r="D277" s="13"/>
      <x:c r="E277" s="13"/>
      <x:c r="F277" s="13"/>
      <x:c r="G277" s="13"/>
      <x:c r="H277" s="52"/>
      <x:c r="I277" s="13"/>
      <x:c r="J277" s="13"/>
    </x:row>
    <x:row r="278">
      <x:c r="A278" s="51"/>
      <x:c r="B278" s="13"/>
      <x:c r="C278" s="13"/>
      <x:c r="D278" s="13"/>
      <x:c r="E278" s="13"/>
      <x:c r="F278" s="13"/>
      <x:c r="G278" s="13"/>
      <x:c r="H278" s="52"/>
      <x:c r="I278" s="13"/>
      <x:c r="J278" s="13"/>
    </x:row>
    <x:row r="279">
      <x:c r="A279" s="51"/>
      <x:c r="B279" s="13"/>
      <x:c r="C279" s="13"/>
      <x:c r="D279" s="13"/>
      <x:c r="E279" s="13"/>
      <x:c r="F279" s="13"/>
      <x:c r="G279" s="13"/>
      <x:c r="H279" s="52"/>
      <x:c r="I279" s="13"/>
      <x:c r="J279" s="13"/>
    </x:row>
    <x:row r="280">
      <x:c r="A280" s="51"/>
      <x:c r="B280" s="13"/>
      <x:c r="C280" s="13"/>
      <x:c r="D280" s="13"/>
      <x:c r="E280" s="13"/>
      <x:c r="F280" s="13"/>
      <x:c r="G280" s="13"/>
      <x:c r="H280" s="52"/>
      <x:c r="I280" s="13"/>
      <x:c r="J280" s="13"/>
    </x:row>
    <x:row r="281">
      <x:c r="A281" s="51"/>
      <x:c r="B281" s="13"/>
      <x:c r="C281" s="13"/>
      <x:c r="D281" s="13"/>
      <x:c r="E281" s="13"/>
      <x:c r="F281" s="13"/>
      <x:c r="G281" s="13"/>
      <x:c r="H281" s="52"/>
      <x:c r="I281" s="13"/>
      <x:c r="J281" s="13"/>
    </x:row>
    <x:row r="282">
      <x:c r="A282" s="51"/>
      <x:c r="B282" s="13"/>
      <x:c r="C282" s="13"/>
      <x:c r="D282" s="13"/>
      <x:c r="E282" s="13"/>
      <x:c r="F282" s="13"/>
      <x:c r="G282" s="13"/>
      <x:c r="H282" s="52"/>
      <x:c r="I282" s="13"/>
      <x:c r="J282" s="13"/>
    </x:row>
    <x:row r="283">
      <x:c r="A283" s="51"/>
      <x:c r="B283" s="13"/>
      <x:c r="C283" s="13"/>
      <x:c r="D283" s="13"/>
      <x:c r="E283" s="13"/>
      <x:c r="F283" s="13"/>
      <x:c r="G283" s="13"/>
      <x:c r="H283" s="52"/>
      <x:c r="I283" s="13"/>
      <x:c r="J283" s="13"/>
    </x:row>
    <x:row r="284">
      <x:c r="A284" s="51"/>
      <x:c r="B284" s="13"/>
      <x:c r="C284" s="13"/>
      <x:c r="D284" s="13"/>
      <x:c r="E284" s="13"/>
      <x:c r="F284" s="13"/>
      <x:c r="G284" s="13"/>
      <x:c r="H284" s="52"/>
      <x:c r="I284" s="13"/>
      <x:c r="J284" s="13"/>
    </x:row>
    <x:row r="285">
      <x:c r="A285" s="51"/>
      <x:c r="B285" s="13"/>
      <x:c r="C285" s="13"/>
      <x:c r="D285" s="13"/>
      <x:c r="E285" s="13"/>
      <x:c r="F285" s="13"/>
      <x:c r="G285" s="13"/>
      <x:c r="H285" s="52"/>
      <x:c r="I285" s="13"/>
      <x:c r="J285" s="13"/>
    </x:row>
    <x:row r="286">
      <x:c r="A286" s="51"/>
      <x:c r="B286" s="13"/>
      <x:c r="C286" s="13"/>
      <x:c r="D286" s="13"/>
      <x:c r="E286" s="13"/>
      <x:c r="F286" s="13"/>
      <x:c r="G286" s="13"/>
      <x:c r="H286" s="52"/>
      <x:c r="I286" s="13"/>
      <x:c r="J286" s="13"/>
    </x:row>
    <x:row r="287">
      <x:c r="A287" s="51"/>
      <x:c r="B287" s="13"/>
      <x:c r="C287" s="13"/>
      <x:c r="D287" s="13"/>
      <x:c r="E287" s="13"/>
      <x:c r="F287" s="13"/>
      <x:c r="G287" s="13"/>
      <x:c r="H287" s="52"/>
      <x:c r="I287" s="13"/>
      <x:c r="J287" s="13"/>
    </x:row>
    <x:row r="288">
      <x:c r="A288" s="51"/>
      <x:c r="B288" s="13"/>
      <x:c r="C288" s="13"/>
      <x:c r="D288" s="13"/>
      <x:c r="E288" s="13"/>
      <x:c r="F288" s="13"/>
      <x:c r="G288" s="13"/>
      <x:c r="H288" s="52"/>
      <x:c r="I288" s="13"/>
      <x:c r="J288" s="13"/>
    </x:row>
    <x:row r="289">
      <x:c r="A289" s="51"/>
      <x:c r="B289" s="13"/>
      <x:c r="C289" s="13"/>
      <x:c r="D289" s="13"/>
      <x:c r="E289" s="13"/>
      <x:c r="F289" s="13"/>
      <x:c r="G289" s="13"/>
      <x:c r="H289" s="52"/>
      <x:c r="I289" s="13"/>
      <x:c r="J289" s="13"/>
    </x:row>
    <x:row r="290">
      <x:c r="A290" s="51"/>
      <x:c r="B290" s="13"/>
      <x:c r="C290" s="13"/>
      <x:c r="D290" s="13"/>
      <x:c r="E290" s="13"/>
      <x:c r="F290" s="13"/>
      <x:c r="G290" s="13"/>
      <x:c r="H290" s="52"/>
      <x:c r="I290" s="13"/>
      <x:c r="J290" s="13"/>
    </x:row>
    <x:row r="291">
      <x:c r="A291" s="51"/>
      <x:c r="B291" s="13"/>
      <x:c r="C291" s="13"/>
      <x:c r="D291" s="13"/>
      <x:c r="E291" s="13"/>
      <x:c r="F291" s="13"/>
      <x:c r="G291" s="13"/>
      <x:c r="H291" s="52"/>
      <x:c r="I291" s="13"/>
      <x:c r="J291" s="13"/>
    </x:row>
    <x:row r="292">
      <x:c r="A292" s="51"/>
      <x:c r="B292" s="13"/>
      <x:c r="C292" s="13"/>
      <x:c r="D292" s="13"/>
      <x:c r="E292" s="13"/>
      <x:c r="F292" s="13"/>
      <x:c r="G292" s="13"/>
      <x:c r="H292" s="52"/>
      <x:c r="I292" s="13"/>
      <x:c r="J292" s="13"/>
    </x:row>
    <x:row r="293">
      <x:c r="A293" s="51"/>
      <x:c r="B293" s="13"/>
      <x:c r="C293" s="13"/>
      <x:c r="D293" s="13"/>
      <x:c r="E293" s="13"/>
      <x:c r="F293" s="13"/>
      <x:c r="G293" s="13"/>
      <x:c r="H293" s="52"/>
      <x:c r="I293" s="13"/>
      <x:c r="J293" s="13"/>
    </x:row>
    <x:row r="294">
      <x:c r="A294" s="51"/>
      <x:c r="B294" s="13"/>
      <x:c r="C294" s="13"/>
      <x:c r="D294" s="13"/>
      <x:c r="E294" s="13"/>
      <x:c r="F294" s="13"/>
      <x:c r="G294" s="13"/>
      <x:c r="H294" s="52"/>
      <x:c r="I294" s="13"/>
      <x:c r="J294" s="13"/>
    </x:row>
    <x:row r="295">
      <x:c r="A295" s="51"/>
      <x:c r="B295" s="13"/>
      <x:c r="C295" s="13"/>
      <x:c r="D295" s="13"/>
      <x:c r="E295" s="13"/>
      <x:c r="F295" s="13"/>
      <x:c r="G295" s="13"/>
      <x:c r="H295" s="52"/>
      <x:c r="I295" s="13"/>
      <x:c r="J295" s="13"/>
    </x:row>
    <x:row r="296">
      <x:c r="A296" s="51"/>
      <x:c r="B296" s="13"/>
      <x:c r="C296" s="13"/>
      <x:c r="D296" s="13"/>
      <x:c r="E296" s="13"/>
      <x:c r="F296" s="13"/>
      <x:c r="G296" s="13"/>
      <x:c r="H296" s="52"/>
      <x:c r="I296" s="13"/>
      <x:c r="J296" s="13"/>
    </x:row>
    <x:row r="297">
      <x:c r="A297" s="51"/>
      <x:c r="B297" s="13"/>
      <x:c r="C297" s="13"/>
      <x:c r="D297" s="13"/>
      <x:c r="E297" s="13"/>
      <x:c r="F297" s="13"/>
      <x:c r="G297" s="13"/>
      <x:c r="H297" s="52"/>
      <x:c r="I297" s="13"/>
      <x:c r="J297" s="13"/>
    </x:row>
    <x:row r="298">
      <x:c r="A298" s="51"/>
      <x:c r="B298" s="13"/>
      <x:c r="C298" s="13"/>
      <x:c r="D298" s="13"/>
      <x:c r="E298" s="13"/>
      <x:c r="F298" s="13"/>
      <x:c r="G298" s="13"/>
      <x:c r="H298" s="52"/>
      <x:c r="I298" s="13"/>
      <x:c r="J298" s="13"/>
    </x:row>
    <x:row r="299">
      <x:c r="A299" s="51"/>
      <x:c r="B299" s="13"/>
      <x:c r="C299" s="13"/>
      <x:c r="D299" s="13"/>
      <x:c r="E299" s="13"/>
      <x:c r="F299" s="13"/>
      <x:c r="G299" s="13"/>
      <x:c r="H299" s="52"/>
      <x:c r="I299" s="13"/>
      <x:c r="J299" s="13"/>
    </x:row>
    <x:row r="300">
      <x:c r="A300" s="51"/>
      <x:c r="B300" s="13"/>
      <x:c r="C300" s="13"/>
      <x:c r="D300" s="13"/>
      <x:c r="E300" s="13"/>
      <x:c r="F300" s="13"/>
      <x:c r="G300" s="13"/>
      <x:c r="H300" s="52"/>
      <x:c r="I300" s="13"/>
      <x:c r="J300" s="13"/>
    </x:row>
    <x:row r="301">
      <x:c r="A301" s="51"/>
      <x:c r="B301" s="13"/>
      <x:c r="C301" s="13"/>
      <x:c r="D301" s="13"/>
      <x:c r="E301" s="13"/>
      <x:c r="F301" s="13"/>
      <x:c r="G301" s="13"/>
      <x:c r="H301" s="52"/>
      <x:c r="I301" s="13"/>
      <x:c r="J301" s="13"/>
    </x:row>
    <x:row r="302">
      <x:c r="A302" s="51"/>
      <x:c r="B302" s="13"/>
      <x:c r="C302" s="13"/>
      <x:c r="D302" s="13"/>
      <x:c r="E302" s="13"/>
      <x:c r="F302" s="13"/>
      <x:c r="G302" s="13"/>
      <x:c r="H302" s="52"/>
      <x:c r="I302" s="13"/>
      <x:c r="J302" s="13"/>
    </x:row>
    <x:row r="303">
      <x:c r="A303" s="51"/>
      <x:c r="B303" s="13"/>
      <x:c r="C303" s="13"/>
      <x:c r="D303" s="13"/>
      <x:c r="E303" s="13"/>
      <x:c r="F303" s="13"/>
      <x:c r="G303" s="13"/>
      <x:c r="H303" s="52"/>
      <x:c r="I303" s="13"/>
      <x:c r="J303" s="13"/>
    </x:row>
    <x:row r="304">
      <x:c r="A304" s="51"/>
      <x:c r="B304" s="13"/>
      <x:c r="C304" s="13"/>
      <x:c r="D304" s="13"/>
      <x:c r="E304" s="13"/>
      <x:c r="F304" s="13"/>
      <x:c r="G304" s="13"/>
      <x:c r="H304" s="52"/>
      <x:c r="I304" s="13"/>
      <x:c r="J304" s="13"/>
    </x:row>
    <x:row r="305">
      <x:c r="A305" s="51"/>
      <x:c r="B305" s="13"/>
      <x:c r="C305" s="13"/>
      <x:c r="D305" s="13"/>
      <x:c r="E305" s="13"/>
      <x:c r="F305" s="13"/>
      <x:c r="G305" s="13"/>
      <x:c r="H305" s="52"/>
      <x:c r="I305" s="13"/>
      <x:c r="J305" s="13"/>
    </x:row>
    <x:row r="306">
      <x:c r="A306" s="51"/>
      <x:c r="B306" s="13"/>
      <x:c r="C306" s="13"/>
      <x:c r="D306" s="13"/>
      <x:c r="E306" s="13"/>
      <x:c r="F306" s="13"/>
      <x:c r="G306" s="13"/>
      <x:c r="H306" s="52"/>
      <x:c r="I306" s="13"/>
      <x:c r="J306" s="13"/>
    </x:row>
    <x:row r="307">
      <x:c r="A307" s="51"/>
      <x:c r="B307" s="13"/>
      <x:c r="C307" s="13"/>
      <x:c r="D307" s="13"/>
      <x:c r="E307" s="13"/>
      <x:c r="F307" s="13"/>
      <x:c r="G307" s="13"/>
      <x:c r="H307" s="52"/>
      <x:c r="I307" s="13"/>
      <x:c r="J307" s="13"/>
    </x:row>
    <x:row r="308">
      <x:c r="A308" s="51"/>
      <x:c r="B308" s="13"/>
      <x:c r="C308" s="13"/>
      <x:c r="D308" s="13"/>
      <x:c r="E308" s="13"/>
      <x:c r="F308" s="13"/>
      <x:c r="G308" s="13"/>
      <x:c r="H308" s="52"/>
      <x:c r="I308" s="13"/>
      <x:c r="J308" s="13"/>
    </x:row>
    <x:row r="309">
      <x:c r="A309" s="51"/>
      <x:c r="B309" s="13"/>
      <x:c r="C309" s="13"/>
      <x:c r="D309" s="13"/>
      <x:c r="E309" s="13"/>
      <x:c r="F309" s="13"/>
      <x:c r="G309" s="13"/>
      <x:c r="H309" s="52"/>
      <x:c r="I309" s="13"/>
      <x:c r="J309" s="13"/>
    </x:row>
    <x:row r="310">
      <x:c r="A310" s="51"/>
      <x:c r="B310" s="13"/>
      <x:c r="C310" s="13"/>
      <x:c r="D310" s="13"/>
      <x:c r="E310" s="13"/>
      <x:c r="F310" s="13"/>
      <x:c r="G310" s="13"/>
      <x:c r="H310" s="52"/>
      <x:c r="I310" s="13"/>
      <x:c r="J310" s="13"/>
    </x:row>
    <x:row r="311">
      <x:c r="A311" s="51"/>
      <x:c r="B311" s="13"/>
      <x:c r="C311" s="13"/>
      <x:c r="D311" s="13"/>
      <x:c r="E311" s="13"/>
      <x:c r="F311" s="13"/>
      <x:c r="G311" s="13"/>
      <x:c r="H311" s="52"/>
      <x:c r="I311" s="13"/>
      <x:c r="J311" s="13"/>
    </x:row>
    <x:row r="312">
      <x:c r="A312" s="51"/>
      <x:c r="B312" s="13"/>
      <x:c r="C312" s="13"/>
      <x:c r="D312" s="13"/>
      <x:c r="E312" s="13"/>
      <x:c r="F312" s="13"/>
      <x:c r="G312" s="13"/>
      <x:c r="H312" s="52"/>
      <x:c r="I312" s="13"/>
      <x:c r="J312" s="13"/>
    </x:row>
    <x:row r="313">
      <x:c r="A313" s="51"/>
      <x:c r="B313" s="13"/>
      <x:c r="C313" s="13"/>
      <x:c r="D313" s="13"/>
      <x:c r="E313" s="13"/>
      <x:c r="F313" s="13"/>
      <x:c r="G313" s="13"/>
      <x:c r="H313" s="52"/>
      <x:c r="I313" s="13"/>
      <x:c r="J313" s="13"/>
    </x:row>
    <x:row r="314">
      <x:c r="A314" s="51"/>
      <x:c r="B314" s="13"/>
      <x:c r="C314" s="13"/>
      <x:c r="D314" s="13"/>
      <x:c r="E314" s="13"/>
      <x:c r="F314" s="13"/>
      <x:c r="G314" s="13"/>
      <x:c r="H314" s="52"/>
      <x:c r="I314" s="13"/>
      <x:c r="J314" s="13"/>
    </x:row>
    <x:row r="315">
      <x:c r="A315" s="51"/>
      <x:c r="B315" s="13"/>
      <x:c r="C315" s="13"/>
      <x:c r="D315" s="13"/>
      <x:c r="E315" s="13"/>
      <x:c r="F315" s="13"/>
      <x:c r="G315" s="13"/>
      <x:c r="H315" s="52"/>
      <x:c r="I315" s="13"/>
      <x:c r="J315" s="13"/>
    </x:row>
    <x:row r="316">
      <x:c r="A316" s="51"/>
      <x:c r="B316" s="13"/>
      <x:c r="C316" s="13"/>
      <x:c r="D316" s="13"/>
      <x:c r="E316" s="13"/>
      <x:c r="F316" s="13"/>
      <x:c r="G316" s="13"/>
      <x:c r="H316" s="52"/>
      <x:c r="I316" s="13"/>
      <x:c r="J316" s="13"/>
    </x:row>
    <x:row r="317">
      <x:c r="A317" s="51"/>
      <x:c r="B317" s="13"/>
      <x:c r="C317" s="13"/>
      <x:c r="D317" s="13"/>
      <x:c r="E317" s="13"/>
      <x:c r="F317" s="13"/>
      <x:c r="G317" s="13"/>
      <x:c r="H317" s="52"/>
      <x:c r="I317" s="13"/>
      <x:c r="J317" s="13"/>
    </x:row>
    <x:row r="318">
      <x:c r="A318" s="51"/>
      <x:c r="B318" s="13"/>
      <x:c r="C318" s="13"/>
      <x:c r="D318" s="13"/>
      <x:c r="E318" s="13"/>
      <x:c r="F318" s="13"/>
      <x:c r="G318" s="13"/>
      <x:c r="H318" s="52"/>
      <x:c r="I318" s="13"/>
      <x:c r="J318" s="13"/>
    </x:row>
    <x:row r="319">
      <x:c r="A319" s="51"/>
      <x:c r="B319" s="13"/>
      <x:c r="C319" s="13"/>
      <x:c r="D319" s="13"/>
      <x:c r="E319" s="13"/>
      <x:c r="F319" s="13"/>
      <x:c r="G319" s="13"/>
      <x:c r="H319" s="52"/>
      <x:c r="I319" s="13"/>
      <x:c r="J319" s="13"/>
    </x:row>
    <x:row r="320">
      <x:c r="A320" s="51"/>
      <x:c r="B320" s="13"/>
      <x:c r="C320" s="13"/>
      <x:c r="D320" s="13"/>
      <x:c r="E320" s="13"/>
      <x:c r="F320" s="13"/>
      <x:c r="G320" s="13"/>
      <x:c r="H320" s="52"/>
      <x:c r="I320" s="13"/>
      <x:c r="J320" s="13"/>
    </x:row>
    <x:row r="321">
      <x:c r="A321" s="51"/>
      <x:c r="B321" s="13"/>
      <x:c r="C321" s="13"/>
      <x:c r="D321" s="13"/>
      <x:c r="E321" s="13"/>
      <x:c r="F321" s="13"/>
      <x:c r="G321" s="13"/>
      <x:c r="H321" s="52"/>
      <x:c r="I321" s="13"/>
      <x:c r="J321" s="13"/>
    </x:row>
    <x:row r="322">
      <x:c r="A322" s="51"/>
      <x:c r="B322" s="13"/>
      <x:c r="C322" s="13"/>
      <x:c r="D322" s="13"/>
      <x:c r="E322" s="13"/>
      <x:c r="F322" s="13"/>
      <x:c r="G322" s="13"/>
      <x:c r="H322" s="52"/>
      <x:c r="I322" s="13"/>
      <x:c r="J322" s="13"/>
    </x:row>
    <x:row r="323">
      <x:c r="A323" s="51"/>
      <x:c r="B323" s="13"/>
      <x:c r="C323" s="13"/>
      <x:c r="D323" s="13"/>
      <x:c r="E323" s="13"/>
      <x:c r="F323" s="13"/>
      <x:c r="G323" s="13"/>
      <x:c r="H323" s="52"/>
      <x:c r="I323" s="13"/>
      <x:c r="J323" s="13"/>
    </x:row>
    <x:row r="324">
      <x:c r="A324" s="51"/>
      <x:c r="B324" s="13"/>
      <x:c r="C324" s="13"/>
      <x:c r="D324" s="13"/>
      <x:c r="E324" s="13"/>
      <x:c r="F324" s="13"/>
      <x:c r="G324" s="13"/>
      <x:c r="H324" s="52"/>
      <x:c r="I324" s="13"/>
      <x:c r="J324" s="13"/>
    </x:row>
    <x:row r="325">
      <x:c r="A325" s="51"/>
      <x:c r="B325" s="13"/>
      <x:c r="C325" s="13"/>
      <x:c r="D325" s="13"/>
      <x:c r="E325" s="13"/>
      <x:c r="F325" s="13"/>
      <x:c r="G325" s="13"/>
      <x:c r="H325" s="52"/>
      <x:c r="I325" s="13"/>
      <x:c r="J325" s="13"/>
    </x:row>
    <x:row r="326">
      <x:c r="A326" s="51"/>
      <x:c r="B326" s="13"/>
      <x:c r="C326" s="13"/>
      <x:c r="D326" s="13"/>
      <x:c r="E326" s="13"/>
      <x:c r="F326" s="13"/>
      <x:c r="G326" s="13"/>
      <x:c r="H326" s="52"/>
      <x:c r="I326" s="13"/>
      <x:c r="J326" s="13"/>
    </x:row>
    <x:row r="327">
      <x:c r="A327" s="51"/>
      <x:c r="B327" s="13"/>
      <x:c r="C327" s="13"/>
      <x:c r="D327" s="13"/>
      <x:c r="E327" s="13"/>
      <x:c r="F327" s="13"/>
      <x:c r="G327" s="13"/>
      <x:c r="H327" s="52"/>
      <x:c r="I327" s="13"/>
      <x:c r="J327" s="13"/>
    </x:row>
    <x:row r="328">
      <x:c r="A328" s="51"/>
      <x:c r="B328" s="13"/>
      <x:c r="C328" s="13"/>
      <x:c r="D328" s="13"/>
      <x:c r="E328" s="13"/>
      <x:c r="F328" s="13"/>
      <x:c r="G328" s="13"/>
      <x:c r="H328" s="52"/>
      <x:c r="I328" s="13"/>
      <x:c r="J328" s="13"/>
    </x:row>
    <x:row r="329">
      <x:c r="A329" s="51"/>
      <x:c r="B329" s="13"/>
      <x:c r="C329" s="13"/>
      <x:c r="D329" s="13"/>
      <x:c r="E329" s="13"/>
      <x:c r="F329" s="13"/>
      <x:c r="G329" s="13"/>
      <x:c r="H329" s="52"/>
      <x:c r="I329" s="13"/>
      <x:c r="J329" s="13"/>
    </x:row>
    <x:row r="330">
      <x:c r="A330" s="51"/>
      <x:c r="B330" s="13"/>
      <x:c r="C330" s="13"/>
      <x:c r="D330" s="13"/>
      <x:c r="E330" s="13"/>
      <x:c r="F330" s="13"/>
      <x:c r="G330" s="13"/>
      <x:c r="H330" s="52"/>
      <x:c r="I330" s="13"/>
      <x:c r="J330" s="13"/>
    </x:row>
    <x:row r="331">
      <x:c r="A331" s="51"/>
      <x:c r="B331" s="13"/>
      <x:c r="C331" s="13"/>
      <x:c r="D331" s="13"/>
      <x:c r="E331" s="13"/>
      <x:c r="F331" s="13"/>
      <x:c r="G331" s="13"/>
      <x:c r="H331" s="52"/>
      <x:c r="I331" s="13"/>
      <x:c r="J331" s="13"/>
    </x:row>
    <x:row r="332">
      <x:c r="A332" s="51"/>
      <x:c r="B332" s="13"/>
      <x:c r="C332" s="13"/>
      <x:c r="D332" s="13"/>
      <x:c r="E332" s="13"/>
      <x:c r="F332" s="13"/>
      <x:c r="G332" s="13"/>
      <x:c r="H332" s="52"/>
      <x:c r="I332" s="13"/>
      <x:c r="J332" s="13"/>
    </x:row>
    <x:row r="333">
      <x:c r="A333" s="51"/>
      <x:c r="B333" s="13"/>
      <x:c r="C333" s="13"/>
      <x:c r="D333" s="13"/>
      <x:c r="E333" s="13"/>
      <x:c r="F333" s="13"/>
      <x:c r="G333" s="13"/>
      <x:c r="H333" s="52"/>
      <x:c r="I333" s="13"/>
      <x:c r="J333" s="13"/>
    </x:row>
    <x:row r="334">
      <x:c r="A334" s="51"/>
      <x:c r="B334" s="13"/>
      <x:c r="C334" s="13"/>
      <x:c r="D334" s="13"/>
      <x:c r="E334" s="13"/>
      <x:c r="F334" s="13"/>
      <x:c r="G334" s="13"/>
      <x:c r="H334" s="52"/>
      <x:c r="I334" s="13"/>
      <x:c r="J334" s="13"/>
    </x:row>
    <x:row r="335">
      <x:c r="A335" s="51"/>
      <x:c r="B335" s="13"/>
      <x:c r="C335" s="13"/>
      <x:c r="D335" s="13"/>
      <x:c r="E335" s="13"/>
      <x:c r="F335" s="13"/>
      <x:c r="G335" s="13"/>
      <x:c r="H335" s="52"/>
      <x:c r="I335" s="13"/>
      <x:c r="J335" s="13"/>
    </x:row>
    <x:row r="336">
      <x:c r="A336" s="51"/>
      <x:c r="B336" s="13"/>
      <x:c r="C336" s="13"/>
      <x:c r="D336" s="13"/>
      <x:c r="E336" s="13"/>
      <x:c r="F336" s="13"/>
      <x:c r="G336" s="13"/>
      <x:c r="H336" s="52"/>
      <x:c r="I336" s="13"/>
      <x:c r="J336" s="13"/>
    </x:row>
    <x:row r="337">
      <x:c r="A337" s="51"/>
      <x:c r="B337" s="13"/>
      <x:c r="C337" s="13"/>
      <x:c r="D337" s="13"/>
      <x:c r="E337" s="13"/>
      <x:c r="F337" s="13"/>
      <x:c r="G337" s="13"/>
      <x:c r="H337" s="52"/>
      <x:c r="I337" s="13"/>
      <x:c r="J337" s="13"/>
    </x:row>
    <x:row r="338">
      <x:c r="A338" s="51"/>
      <x:c r="B338" s="13"/>
      <x:c r="C338" s="13"/>
      <x:c r="D338" s="13"/>
      <x:c r="E338" s="13"/>
      <x:c r="F338" s="13"/>
      <x:c r="G338" s="13"/>
      <x:c r="H338" s="52"/>
      <x:c r="I338" s="13"/>
      <x:c r="J338" s="13"/>
    </x:row>
    <x:row r="339">
      <x:c r="A339" s="51"/>
      <x:c r="B339" s="13"/>
      <x:c r="C339" s="13"/>
      <x:c r="D339" s="13"/>
      <x:c r="E339" s="13"/>
      <x:c r="F339" s="13"/>
      <x:c r="G339" s="13"/>
      <x:c r="H339" s="52"/>
      <x:c r="I339" s="13"/>
      <x:c r="J339" s="13"/>
    </x:row>
    <x:row r="340">
      <x:c r="A340" s="51"/>
      <x:c r="B340" s="13"/>
      <x:c r="C340" s="13"/>
      <x:c r="D340" s="13"/>
      <x:c r="E340" s="13"/>
      <x:c r="F340" s="13"/>
      <x:c r="G340" s="13"/>
      <x:c r="H340" s="52"/>
      <x:c r="I340" s="13"/>
      <x:c r="J340" s="13"/>
    </x:row>
    <x:row r="341">
      <x:c r="A341" s="51"/>
      <x:c r="B341" s="13"/>
      <x:c r="C341" s="13"/>
      <x:c r="D341" s="13"/>
      <x:c r="E341" s="13"/>
      <x:c r="F341" s="13"/>
      <x:c r="G341" s="13"/>
      <x:c r="H341" s="52"/>
      <x:c r="I341" s="13"/>
      <x:c r="J341" s="13"/>
    </x:row>
    <x:row r="342">
      <x:c r="A342" s="51"/>
      <x:c r="B342" s="13"/>
      <x:c r="C342" s="13"/>
      <x:c r="D342" s="13"/>
      <x:c r="E342" s="13"/>
      <x:c r="F342" s="13"/>
      <x:c r="G342" s="13"/>
      <x:c r="H342" s="52"/>
      <x:c r="I342" s="13"/>
      <x:c r="J342" s="13"/>
    </x:row>
    <x:row r="343">
      <x:c r="A343" s="51"/>
      <x:c r="B343" s="13"/>
      <x:c r="C343" s="13"/>
      <x:c r="D343" s="13"/>
      <x:c r="E343" s="13"/>
      <x:c r="F343" s="13"/>
      <x:c r="G343" s="13"/>
      <x:c r="H343" s="52"/>
      <x:c r="I343" s="13"/>
      <x:c r="J343" s="13"/>
    </x:row>
    <x:row r="344">
      <x:c r="A344" s="51"/>
      <x:c r="B344" s="13"/>
      <x:c r="C344" s="13"/>
      <x:c r="D344" s="13"/>
      <x:c r="E344" s="13"/>
      <x:c r="F344" s="13"/>
      <x:c r="G344" s="13"/>
      <x:c r="H344" s="52"/>
      <x:c r="I344" s="13"/>
      <x:c r="J344" s="13"/>
    </x:row>
    <x:row r="345">
      <x:c r="A345" s="51"/>
      <x:c r="B345" s="13"/>
      <x:c r="C345" s="13"/>
      <x:c r="D345" s="13"/>
      <x:c r="E345" s="13"/>
      <x:c r="F345" s="13"/>
      <x:c r="G345" s="13"/>
      <x:c r="H345" s="52"/>
      <x:c r="I345" s="13"/>
      <x:c r="J345" s="13"/>
    </x:row>
    <x:row r="346">
      <x:c r="A346" s="51"/>
      <x:c r="B346" s="13"/>
      <x:c r="C346" s="13"/>
      <x:c r="D346" s="13"/>
      <x:c r="E346" s="13"/>
      <x:c r="F346" s="13"/>
      <x:c r="G346" s="13"/>
      <x:c r="H346" s="52"/>
      <x:c r="I346" s="13"/>
      <x:c r="J346" s="13"/>
    </x:row>
    <x:row r="347">
      <x:c r="A347" s="51"/>
      <x:c r="B347" s="13"/>
      <x:c r="C347" s="13"/>
      <x:c r="D347" s="13"/>
      <x:c r="E347" s="13"/>
      <x:c r="F347" s="13"/>
      <x:c r="G347" s="13"/>
      <x:c r="H347" s="52"/>
      <x:c r="I347" s="13"/>
      <x:c r="J347" s="13"/>
    </x:row>
    <x:row r="348">
      <x:c r="A348" s="51"/>
      <x:c r="B348" s="13"/>
      <x:c r="C348" s="13"/>
      <x:c r="D348" s="13"/>
      <x:c r="E348" s="13"/>
      <x:c r="F348" s="13"/>
      <x:c r="G348" s="13"/>
      <x:c r="H348" s="52"/>
      <x:c r="I348" s="13"/>
      <x:c r="J348" s="13"/>
    </x:row>
    <x:row r="349">
      <x:c r="A349" s="51"/>
      <x:c r="B349" s="13"/>
      <x:c r="C349" s="13"/>
      <x:c r="D349" s="13"/>
      <x:c r="E349" s="13"/>
      <x:c r="F349" s="13"/>
      <x:c r="G349" s="13"/>
      <x:c r="H349" s="52"/>
      <x:c r="I349" s="13"/>
      <x:c r="J349" s="13"/>
    </x:row>
    <x:row r="350">
      <x:c r="A350" s="51"/>
      <x:c r="B350" s="13"/>
      <x:c r="C350" s="13"/>
      <x:c r="D350" s="13"/>
      <x:c r="E350" s="13"/>
      <x:c r="F350" s="13"/>
      <x:c r="G350" s="13"/>
      <x:c r="H350" s="52"/>
      <x:c r="I350" s="13"/>
      <x:c r="J350" s="13"/>
    </x:row>
    <x:row r="351">
      <x:c r="A351" s="51"/>
      <x:c r="B351" s="13"/>
      <x:c r="C351" s="13"/>
      <x:c r="D351" s="13"/>
      <x:c r="E351" s="13"/>
      <x:c r="F351" s="13"/>
      <x:c r="G351" s="13"/>
      <x:c r="H351" s="52"/>
      <x:c r="I351" s="13"/>
      <x:c r="J351" s="13"/>
    </x:row>
    <x:row r="352">
      <x:c r="A352" s="51"/>
      <x:c r="B352" s="13"/>
      <x:c r="C352" s="13"/>
      <x:c r="D352" s="13"/>
      <x:c r="E352" s="13"/>
      <x:c r="F352" s="13"/>
      <x:c r="G352" s="13"/>
      <x:c r="H352" s="52"/>
      <x:c r="I352" s="13"/>
      <x:c r="J352" s="13"/>
    </x:row>
    <x:row r="353">
      <x:c r="A353" s="51"/>
      <x:c r="B353" s="13"/>
      <x:c r="C353" s="13"/>
      <x:c r="D353" s="13"/>
      <x:c r="E353" s="13"/>
      <x:c r="F353" s="13"/>
      <x:c r="G353" s="13"/>
      <x:c r="H353" s="52"/>
      <x:c r="I353" s="13"/>
      <x:c r="J353" s="13"/>
    </x:row>
    <x:row r="354">
      <x:c r="A354" s="51"/>
      <x:c r="B354" s="13"/>
      <x:c r="C354" s="13"/>
      <x:c r="D354" s="13"/>
      <x:c r="E354" s="13"/>
      <x:c r="F354" s="13"/>
      <x:c r="G354" s="13"/>
      <x:c r="H354" s="52"/>
      <x:c r="I354" s="13"/>
      <x:c r="J354" s="13"/>
    </x:row>
    <x:row r="355">
      <x:c r="A355" s="51"/>
      <x:c r="B355" s="13"/>
      <x:c r="C355" s="13"/>
      <x:c r="D355" s="13"/>
      <x:c r="E355" s="13"/>
      <x:c r="F355" s="13"/>
      <x:c r="G355" s="13"/>
      <x:c r="H355" s="52"/>
      <x:c r="I355" s="13"/>
      <x:c r="J355" s="13"/>
    </x:row>
    <x:row r="356">
      <x:c r="A356" s="51"/>
      <x:c r="B356" s="13"/>
      <x:c r="C356" s="13"/>
      <x:c r="D356" s="13"/>
      <x:c r="E356" s="13"/>
      <x:c r="F356" s="13"/>
      <x:c r="G356" s="13"/>
      <x:c r="H356" s="52"/>
      <x:c r="I356" s="13"/>
      <x:c r="J356" s="13"/>
    </x:row>
    <x:row r="357">
      <x:c r="A357" s="51"/>
      <x:c r="B357" s="13"/>
      <x:c r="C357" s="13"/>
      <x:c r="D357" s="13"/>
      <x:c r="E357" s="13"/>
      <x:c r="F357" s="13"/>
      <x:c r="G357" s="13"/>
      <x:c r="H357" s="52"/>
      <x:c r="I357" s="13"/>
      <x:c r="J357" s="13"/>
    </x:row>
    <x:row r="358">
      <x:c r="A358" s="51"/>
      <x:c r="B358" s="13"/>
      <x:c r="C358" s="13"/>
      <x:c r="D358" s="13"/>
      <x:c r="E358" s="13"/>
      <x:c r="F358" s="13"/>
      <x:c r="G358" s="13"/>
      <x:c r="H358" s="52"/>
      <x:c r="I358" s="13"/>
      <x:c r="J358" s="13"/>
    </x:row>
    <x:row r="359">
      <x:c r="A359" s="51"/>
      <x:c r="B359" s="13"/>
      <x:c r="C359" s="13"/>
      <x:c r="D359" s="13"/>
      <x:c r="E359" s="13"/>
      <x:c r="F359" s="13"/>
      <x:c r="G359" s="13"/>
      <x:c r="H359" s="52"/>
      <x:c r="I359" s="13"/>
      <x:c r="J359" s="13"/>
    </x:row>
    <x:row r="360">
      <x:c r="A360" s="51"/>
      <x:c r="B360" s="13"/>
      <x:c r="C360" s="13"/>
      <x:c r="D360" s="13"/>
      <x:c r="E360" s="13"/>
      <x:c r="F360" s="13"/>
      <x:c r="G360" s="13"/>
      <x:c r="H360" s="52"/>
      <x:c r="I360" s="13"/>
      <x:c r="J360" s="13"/>
    </x:row>
    <x:row r="361">
      <x:c r="A361" s="51"/>
      <x:c r="B361" s="13"/>
      <x:c r="C361" s="13"/>
      <x:c r="D361" s="13"/>
      <x:c r="E361" s="13"/>
      <x:c r="F361" s="13"/>
      <x:c r="G361" s="13"/>
      <x:c r="H361" s="52"/>
      <x:c r="I361" s="13"/>
      <x:c r="J361" s="13"/>
    </x:row>
    <x:row r="362">
      <x:c r="A362" s="51"/>
      <x:c r="B362" s="13"/>
      <x:c r="C362" s="13"/>
      <x:c r="D362" s="13"/>
      <x:c r="E362" s="13"/>
      <x:c r="F362" s="13"/>
      <x:c r="G362" s="13"/>
      <x:c r="H362" s="52"/>
      <x:c r="I362" s="13"/>
      <x:c r="J362" s="13"/>
    </x:row>
    <x:row r="363">
      <x:c r="A363" s="51"/>
      <x:c r="B363" s="13"/>
      <x:c r="C363" s="13"/>
      <x:c r="D363" s="13"/>
      <x:c r="E363" s="13"/>
      <x:c r="F363" s="13"/>
      <x:c r="G363" s="13"/>
      <x:c r="H363" s="52"/>
      <x:c r="I363" s="13"/>
      <x:c r="J363" s="13"/>
    </x:row>
    <x:row r="364">
      <x:c r="A364" s="51"/>
      <x:c r="B364" s="13"/>
      <x:c r="C364" s="13"/>
      <x:c r="D364" s="13"/>
      <x:c r="E364" s="13"/>
      <x:c r="F364" s="13"/>
      <x:c r="G364" s="13"/>
      <x:c r="H364" s="52"/>
      <x:c r="I364" s="13"/>
      <x:c r="J364" s="13"/>
    </x:row>
    <x:row r="365">
      <x:c r="A365" s="51"/>
      <x:c r="B365" s="13"/>
      <x:c r="C365" s="13"/>
      <x:c r="D365" s="13"/>
      <x:c r="E365" s="13"/>
      <x:c r="F365" s="13"/>
      <x:c r="G365" s="13"/>
      <x:c r="H365" s="52"/>
      <x:c r="I365" s="13"/>
      <x:c r="J365" s="13"/>
    </x:row>
    <x:row r="366">
      <x:c r="A366" s="51"/>
      <x:c r="B366" s="13"/>
      <x:c r="C366" s="13"/>
      <x:c r="D366" s="13"/>
      <x:c r="E366" s="13"/>
      <x:c r="F366" s="13"/>
      <x:c r="G366" s="13"/>
      <x:c r="H366" s="52"/>
      <x:c r="I366" s="13"/>
      <x:c r="J366" s="13"/>
    </x:row>
    <x:row r="367">
      <x:c r="A367" s="51"/>
      <x:c r="B367" s="13"/>
      <x:c r="C367" s="13"/>
      <x:c r="D367" s="13"/>
      <x:c r="E367" s="13"/>
      <x:c r="F367" s="13"/>
      <x:c r="G367" s="13"/>
      <x:c r="H367" s="52"/>
      <x:c r="I367" s="13"/>
      <x:c r="J367" s="13"/>
    </x:row>
    <x:row r="368">
      <x:c r="A368" s="51"/>
      <x:c r="B368" s="13"/>
      <x:c r="C368" s="13"/>
      <x:c r="D368" s="13"/>
      <x:c r="E368" s="13"/>
      <x:c r="F368" s="13"/>
      <x:c r="G368" s="13"/>
      <x:c r="H368" s="52"/>
      <x:c r="I368" s="13"/>
      <x:c r="J368" s="13"/>
    </x:row>
    <x:row r="369">
      <x:c r="A369" s="51"/>
      <x:c r="B369" s="13"/>
      <x:c r="C369" s="13"/>
      <x:c r="D369" s="13"/>
      <x:c r="E369" s="13"/>
      <x:c r="F369" s="13"/>
      <x:c r="G369" s="13"/>
      <x:c r="H369" s="52"/>
      <x:c r="I369" s="13"/>
      <x:c r="J369" s="13"/>
    </x:row>
    <x:row r="370">
      <x:c r="A370" s="51"/>
      <x:c r="B370" s="13"/>
      <x:c r="C370" s="13"/>
      <x:c r="D370" s="13"/>
      <x:c r="E370" s="13"/>
      <x:c r="F370" s="13"/>
      <x:c r="G370" s="13"/>
      <x:c r="H370" s="52"/>
      <x:c r="I370" s="13"/>
      <x:c r="J370" s="13"/>
    </x:row>
    <x:row r="371">
      <x:c r="A371" s="51"/>
      <x:c r="B371" s="13"/>
      <x:c r="C371" s="13"/>
      <x:c r="D371" s="13"/>
      <x:c r="E371" s="13"/>
      <x:c r="F371" s="13"/>
      <x:c r="G371" s="13"/>
      <x:c r="H371" s="52"/>
      <x:c r="I371" s="13"/>
      <x:c r="J371" s="13"/>
    </x:row>
    <x:row r="372">
      <x:c r="A372" s="51"/>
      <x:c r="B372" s="13"/>
      <x:c r="C372" s="13"/>
      <x:c r="D372" s="13"/>
      <x:c r="E372" s="13"/>
      <x:c r="F372" s="13"/>
      <x:c r="G372" s="13"/>
      <x:c r="H372" s="52"/>
      <x:c r="I372" s="13"/>
      <x:c r="J372" s="13"/>
    </x:row>
    <x:row r="373">
      <x:c r="A373" s="51"/>
      <x:c r="B373" s="13"/>
      <x:c r="C373" s="13"/>
      <x:c r="D373" s="13"/>
      <x:c r="E373" s="13"/>
      <x:c r="F373" s="13"/>
      <x:c r="G373" s="13"/>
      <x:c r="H373" s="52"/>
      <x:c r="I373" s="13"/>
      <x:c r="J373" s="13"/>
    </x:row>
    <x:row r="374">
      <x:c r="A374" s="51"/>
      <x:c r="B374" s="13"/>
      <x:c r="C374" s="13"/>
      <x:c r="D374" s="13"/>
      <x:c r="E374" s="13"/>
      <x:c r="F374" s="13"/>
      <x:c r="G374" s="13"/>
      <x:c r="H374" s="52"/>
      <x:c r="I374" s="13"/>
      <x:c r="J374" s="13"/>
    </x:row>
    <x:row r="375">
      <x:c r="A375" s="51"/>
      <x:c r="B375" s="13"/>
      <x:c r="C375" s="13"/>
      <x:c r="D375" s="13"/>
      <x:c r="E375" s="13"/>
      <x:c r="F375" s="13"/>
      <x:c r="G375" s="13"/>
      <x:c r="H375" s="52"/>
      <x:c r="I375" s="13"/>
      <x:c r="J375" s="13"/>
    </x:row>
    <x:row r="376">
      <x:c r="A376" s="51"/>
      <x:c r="B376" s="13"/>
      <x:c r="C376" s="13"/>
      <x:c r="D376" s="13"/>
      <x:c r="E376" s="13"/>
      <x:c r="F376" s="13"/>
      <x:c r="G376" s="13"/>
      <x:c r="H376" s="52"/>
      <x:c r="I376" s="13"/>
      <x:c r="J376" s="13"/>
    </x:row>
    <x:row r="377">
      <x:c r="A377" s="51"/>
      <x:c r="B377" s="13"/>
      <x:c r="C377" s="13"/>
      <x:c r="D377" s="13"/>
      <x:c r="E377" s="13"/>
      <x:c r="F377" s="13"/>
      <x:c r="G377" s="13"/>
      <x:c r="H377" s="52"/>
      <x:c r="I377" s="13"/>
      <x:c r="J377" s="13"/>
    </x:row>
    <x:row r="378">
      <x:c r="A378" s="51"/>
      <x:c r="B378" s="13"/>
      <x:c r="C378" s="13"/>
      <x:c r="D378" s="13"/>
      <x:c r="E378" s="13"/>
      <x:c r="F378" s="13"/>
      <x:c r="G378" s="13"/>
      <x:c r="H378" s="52"/>
      <x:c r="I378" s="13"/>
      <x:c r="J378" s="13"/>
    </x:row>
    <x:row r="379">
      <x:c r="A379" s="51"/>
      <x:c r="B379" s="13"/>
      <x:c r="C379" s="13"/>
      <x:c r="D379" s="13"/>
      <x:c r="E379" s="13"/>
      <x:c r="F379" s="13"/>
      <x:c r="G379" s="13"/>
      <x:c r="H379" s="52"/>
      <x:c r="I379" s="13"/>
      <x:c r="J379" s="13"/>
    </x:row>
    <x:row r="380">
      <x:c r="A380" s="51"/>
      <x:c r="B380" s="13"/>
      <x:c r="C380" s="13"/>
      <x:c r="D380" s="13"/>
      <x:c r="E380" s="13"/>
      <x:c r="F380" s="13"/>
      <x:c r="G380" s="13"/>
      <x:c r="H380" s="52"/>
      <x:c r="I380" s="13"/>
      <x:c r="J380" s="13"/>
    </x:row>
    <x:row r="381">
      <x:c r="A381" s="51"/>
      <x:c r="B381" s="13"/>
      <x:c r="C381" s="13"/>
      <x:c r="D381" s="13"/>
      <x:c r="E381" s="13"/>
      <x:c r="F381" s="13"/>
      <x:c r="G381" s="13"/>
      <x:c r="H381" s="52"/>
      <x:c r="I381" s="13"/>
      <x:c r="J381" s="13"/>
    </x:row>
    <x:row r="382">
      <x:c r="A382" s="51"/>
      <x:c r="B382" s="13"/>
      <x:c r="C382" s="13"/>
      <x:c r="D382" s="13"/>
      <x:c r="E382" s="13"/>
      <x:c r="F382" s="13"/>
      <x:c r="G382" s="13"/>
      <x:c r="H382" s="52"/>
      <x:c r="I382" s="13"/>
      <x:c r="J382" s="13"/>
    </x:row>
    <x:row r="383">
      <x:c r="A383" s="51"/>
      <x:c r="B383" s="13"/>
      <x:c r="C383" s="13"/>
      <x:c r="D383" s="13"/>
      <x:c r="E383" s="13"/>
      <x:c r="F383" s="13"/>
      <x:c r="G383" s="13"/>
      <x:c r="H383" s="52"/>
      <x:c r="I383" s="13"/>
      <x:c r="J383" s="13"/>
    </x:row>
    <x:row r="384">
      <x:c r="A384" s="51"/>
      <x:c r="B384" s="13"/>
      <x:c r="C384" s="13"/>
      <x:c r="D384" s="13"/>
      <x:c r="E384" s="13"/>
      <x:c r="F384" s="13"/>
      <x:c r="G384" s="13"/>
      <x:c r="H384" s="52"/>
      <x:c r="I384" s="13"/>
      <x:c r="J384" s="13"/>
    </x:row>
    <x:row r="385">
      <x:c r="A385" s="51"/>
      <x:c r="B385" s="13"/>
      <x:c r="C385" s="13"/>
      <x:c r="D385" s="13"/>
      <x:c r="E385" s="13"/>
      <x:c r="F385" s="13"/>
      <x:c r="G385" s="13"/>
      <x:c r="H385" s="52"/>
      <x:c r="I385" s="13"/>
      <x:c r="J385" s="13"/>
    </x:row>
    <x:row r="386">
      <x:c r="A386" s="51"/>
      <x:c r="B386" s="13"/>
      <x:c r="C386" s="13"/>
      <x:c r="D386" s="13"/>
      <x:c r="E386" s="13"/>
      <x:c r="F386" s="13"/>
      <x:c r="G386" s="13"/>
      <x:c r="H386" s="52"/>
      <x:c r="I386" s="13"/>
      <x:c r="J386" s="13"/>
    </x:row>
    <x:row r="387">
      <x:c r="A387" s="51"/>
      <x:c r="B387" s="13"/>
      <x:c r="C387" s="13"/>
      <x:c r="D387" s="13"/>
      <x:c r="E387" s="13"/>
      <x:c r="F387" s="13"/>
      <x:c r="G387" s="13"/>
      <x:c r="H387" s="52"/>
      <x:c r="I387" s="13"/>
      <x:c r="J387" s="13"/>
    </x:row>
    <x:row r="388">
      <x:c r="A388" s="51"/>
      <x:c r="B388" s="13"/>
      <x:c r="C388" s="13"/>
      <x:c r="D388" s="13"/>
      <x:c r="E388" s="13"/>
      <x:c r="F388" s="13"/>
      <x:c r="G388" s="13"/>
      <x:c r="H388" s="52"/>
      <x:c r="I388" s="13"/>
      <x:c r="J388" s="13"/>
    </x:row>
    <x:row r="389">
      <x:c r="A389" s="51"/>
      <x:c r="B389" s="13"/>
      <x:c r="C389" s="13"/>
      <x:c r="D389" s="13"/>
      <x:c r="E389" s="13"/>
      <x:c r="F389" s="13"/>
      <x:c r="G389" s="13"/>
      <x:c r="H389" s="52"/>
      <x:c r="I389" s="13"/>
      <x:c r="J389" s="13"/>
    </x:row>
    <x:row r="390">
      <x:c r="A390" s="51"/>
      <x:c r="B390" s="13"/>
      <x:c r="C390" s="13"/>
      <x:c r="D390" s="13"/>
      <x:c r="E390" s="13"/>
      <x:c r="F390" s="13"/>
      <x:c r="G390" s="13"/>
      <x:c r="H390" s="52"/>
      <x:c r="I390" s="13"/>
      <x:c r="J390" s="13"/>
    </x:row>
    <x:row r="391">
      <x:c r="A391" s="51"/>
      <x:c r="B391" s="13"/>
      <x:c r="C391" s="13"/>
      <x:c r="D391" s="13"/>
      <x:c r="E391" s="13"/>
      <x:c r="F391" s="13"/>
      <x:c r="G391" s="13"/>
      <x:c r="H391" s="52"/>
      <x:c r="I391" s="13"/>
      <x:c r="J391" s="13"/>
    </x:row>
    <x:row r="392">
      <x:c r="A392" s="51"/>
      <x:c r="B392" s="13"/>
      <x:c r="C392" s="13"/>
      <x:c r="D392" s="13"/>
      <x:c r="E392" s="13"/>
      <x:c r="F392" s="13"/>
      <x:c r="G392" s="13"/>
      <x:c r="H392" s="52"/>
      <x:c r="I392" s="13"/>
      <x:c r="J392" s="13"/>
    </x:row>
    <x:row r="393">
      <x:c r="A393" s="51"/>
      <x:c r="B393" s="13"/>
      <x:c r="C393" s="13"/>
      <x:c r="D393" s="13"/>
      <x:c r="E393" s="13"/>
      <x:c r="F393" s="13"/>
      <x:c r="G393" s="13"/>
      <x:c r="H393" s="52"/>
      <x:c r="I393" s="13"/>
      <x:c r="J393" s="13"/>
    </x:row>
    <x:row r="394">
      <x:c r="A394" s="51"/>
      <x:c r="B394" s="13"/>
      <x:c r="C394" s="13"/>
      <x:c r="D394" s="13"/>
      <x:c r="E394" s="13"/>
      <x:c r="F394" s="13"/>
      <x:c r="G394" s="13"/>
      <x:c r="H394" s="52"/>
      <x:c r="I394" s="13"/>
      <x:c r="J394" s="13"/>
    </x:row>
    <x:row r="395">
      <x:c r="A395" s="51"/>
      <x:c r="B395" s="13"/>
      <x:c r="C395" s="13"/>
      <x:c r="D395" s="13"/>
      <x:c r="E395" s="13"/>
      <x:c r="F395" s="13"/>
      <x:c r="G395" s="13"/>
      <x:c r="H395" s="52"/>
      <x:c r="I395" s="13"/>
      <x:c r="J395" s="13"/>
    </x:row>
    <x:row r="396">
      <x:c r="A396" s="51"/>
      <x:c r="B396" s="13"/>
      <x:c r="C396" s="13"/>
      <x:c r="D396" s="13"/>
      <x:c r="E396" s="13"/>
      <x:c r="F396" s="13"/>
      <x:c r="G396" s="13"/>
      <x:c r="H396" s="52"/>
      <x:c r="I396" s="13"/>
      <x:c r="J396" s="13"/>
    </x:row>
    <x:row r="397">
      <x:c r="A397" s="51"/>
      <x:c r="B397" s="13"/>
      <x:c r="C397" s="13"/>
      <x:c r="D397" s="13"/>
      <x:c r="E397" s="13"/>
      <x:c r="F397" s="13"/>
      <x:c r="G397" s="13"/>
      <x:c r="H397" s="52"/>
      <x:c r="I397" s="13"/>
      <x:c r="J397" s="13"/>
    </x:row>
    <x:row r="398">
      <x:c r="A398" s="51"/>
      <x:c r="B398" s="13"/>
      <x:c r="C398" s="13"/>
      <x:c r="D398" s="13"/>
      <x:c r="E398" s="13"/>
      <x:c r="F398" s="13"/>
      <x:c r="G398" s="13"/>
      <x:c r="H398" s="52"/>
      <x:c r="I398" s="13"/>
      <x:c r="J398" s="13"/>
    </x:row>
    <x:row r="399">
      <x:c r="A399" s="51"/>
      <x:c r="B399" s="13"/>
      <x:c r="C399" s="13"/>
      <x:c r="D399" s="13"/>
      <x:c r="E399" s="13"/>
      <x:c r="F399" s="13"/>
      <x:c r="G399" s="13"/>
      <x:c r="H399" s="52"/>
      <x:c r="I399" s="13"/>
      <x:c r="J399" s="13"/>
    </x:row>
    <x:row r="400">
      <x:c r="A400" s="51"/>
      <x:c r="B400" s="13"/>
      <x:c r="C400" s="13"/>
      <x:c r="D400" s="13"/>
      <x:c r="E400" s="13"/>
      <x:c r="F400" s="13"/>
      <x:c r="G400" s="13"/>
      <x:c r="H400" s="52"/>
      <x:c r="I400" s="13"/>
      <x:c r="J400" s="13"/>
    </x:row>
    <x:row r="401">
      <x:c r="A401" s="51"/>
      <x:c r="B401" s="13"/>
      <x:c r="C401" s="13"/>
      <x:c r="D401" s="13"/>
      <x:c r="E401" s="13"/>
      <x:c r="F401" s="13"/>
      <x:c r="G401" s="13"/>
      <x:c r="H401" s="52"/>
      <x:c r="I401" s="13"/>
      <x:c r="J401" s="13"/>
    </x:row>
    <x:row r="402">
      <x:c r="A402" s="51"/>
      <x:c r="B402" s="13"/>
      <x:c r="C402" s="13"/>
      <x:c r="D402" s="13"/>
      <x:c r="E402" s="13"/>
      <x:c r="F402" s="13"/>
      <x:c r="G402" s="13"/>
      <x:c r="H402" s="52"/>
      <x:c r="I402" s="13"/>
      <x:c r="J402" s="13"/>
    </x:row>
    <x:row r="403">
      <x:c r="A403" s="51"/>
      <x:c r="B403" s="13"/>
      <x:c r="C403" s="13"/>
      <x:c r="D403" s="13"/>
      <x:c r="E403" s="13"/>
      <x:c r="F403" s="13"/>
      <x:c r="G403" s="13"/>
      <x:c r="H403" s="52"/>
      <x:c r="I403" s="13"/>
      <x:c r="J403" s="13"/>
    </x:row>
    <x:row r="404">
      <x:c r="A404" s="51"/>
      <x:c r="B404" s="13"/>
      <x:c r="C404" s="13"/>
      <x:c r="D404" s="13"/>
      <x:c r="E404" s="13"/>
      <x:c r="F404" s="13"/>
      <x:c r="G404" s="13"/>
      <x:c r="H404" s="52"/>
      <x:c r="I404" s="13"/>
      <x:c r="J404" s="13"/>
    </x:row>
    <x:row r="405">
      <x:c r="A405" s="51"/>
      <x:c r="B405" s="13"/>
      <x:c r="C405" s="13"/>
      <x:c r="D405" s="13"/>
      <x:c r="E405" s="13"/>
      <x:c r="F405" s="13"/>
      <x:c r="G405" s="13"/>
      <x:c r="H405" s="52"/>
      <x:c r="I405" s="13"/>
      <x:c r="J405" s="13"/>
    </x:row>
    <x:row r="406">
      <x:c r="A406" s="51"/>
      <x:c r="B406" s="13"/>
      <x:c r="C406" s="13"/>
      <x:c r="D406" s="13"/>
      <x:c r="E406" s="13"/>
      <x:c r="F406" s="13"/>
      <x:c r="G406" s="13"/>
      <x:c r="H406" s="52"/>
      <x:c r="I406" s="13"/>
      <x:c r="J406" s="13"/>
    </x:row>
    <x:row r="407">
      <x:c r="A407" s="51"/>
      <x:c r="B407" s="13"/>
      <x:c r="C407" s="13"/>
      <x:c r="D407" s="13"/>
      <x:c r="E407" s="13"/>
      <x:c r="F407" s="13"/>
      <x:c r="G407" s="13"/>
      <x:c r="H407" s="52"/>
      <x:c r="I407" s="13"/>
      <x:c r="J407" s="13"/>
    </x:row>
    <x:row r="408">
      <x:c r="A408" s="51"/>
      <x:c r="B408" s="13"/>
      <x:c r="C408" s="13"/>
      <x:c r="D408" s="13"/>
      <x:c r="E408" s="13"/>
      <x:c r="F408" s="13"/>
      <x:c r="G408" s="13"/>
      <x:c r="H408" s="52"/>
      <x:c r="I408" s="13"/>
      <x:c r="J408" s="13"/>
    </x:row>
    <x:row r="409">
      <x:c r="A409" s="51"/>
      <x:c r="B409" s="13"/>
      <x:c r="C409" s="13"/>
      <x:c r="D409" s="13"/>
      <x:c r="E409" s="13"/>
      <x:c r="F409" s="13"/>
      <x:c r="G409" s="13"/>
      <x:c r="H409" s="52"/>
      <x:c r="I409" s="13"/>
      <x:c r="J409" s="13"/>
    </x:row>
    <x:row r="410">
      <x:c r="A410" s="51"/>
      <x:c r="B410" s="13"/>
      <x:c r="C410" s="13"/>
      <x:c r="D410" s="13"/>
      <x:c r="E410" s="13"/>
      <x:c r="F410" s="13"/>
      <x:c r="G410" s="13"/>
      <x:c r="H410" s="52"/>
      <x:c r="I410" s="13"/>
      <x:c r="J410" s="13"/>
    </x:row>
    <x:row r="411">
      <x:c r="A411" s="51"/>
      <x:c r="B411" s="13"/>
      <x:c r="C411" s="13"/>
      <x:c r="D411" s="13"/>
      <x:c r="E411" s="13"/>
      <x:c r="F411" s="13"/>
      <x:c r="G411" s="13"/>
      <x:c r="H411" s="52"/>
      <x:c r="I411" s="13"/>
      <x:c r="J411" s="13"/>
    </x:row>
    <x:row r="412">
      <x:c r="A412" s="51"/>
      <x:c r="B412" s="13"/>
      <x:c r="C412" s="13"/>
      <x:c r="D412" s="13"/>
      <x:c r="E412" s="13"/>
      <x:c r="F412" s="13"/>
      <x:c r="G412" s="13"/>
      <x:c r="H412" s="52"/>
      <x:c r="I412" s="13"/>
      <x:c r="J412" s="13"/>
    </x:row>
    <x:row r="413">
      <x:c r="A413" s="51"/>
      <x:c r="B413" s="13"/>
      <x:c r="C413" s="13"/>
      <x:c r="D413" s="13"/>
      <x:c r="E413" s="13"/>
      <x:c r="F413" s="13"/>
      <x:c r="G413" s="13"/>
      <x:c r="H413" s="52"/>
      <x:c r="I413" s="13"/>
      <x:c r="J413" s="13"/>
    </x:row>
    <x:row r="414">
      <x:c r="A414" s="51"/>
      <x:c r="B414" s="13"/>
      <x:c r="C414" s="13"/>
      <x:c r="D414" s="13"/>
      <x:c r="E414" s="13"/>
      <x:c r="F414" s="13"/>
      <x:c r="G414" s="13"/>
      <x:c r="H414" s="52"/>
      <x:c r="I414" s="13"/>
      <x:c r="J414" s="13"/>
    </x:row>
    <x:row r="415">
      <x:c r="A415" s="51"/>
      <x:c r="B415" s="13"/>
      <x:c r="C415" s="13"/>
      <x:c r="D415" s="13"/>
      <x:c r="E415" s="13"/>
      <x:c r="F415" s="13"/>
      <x:c r="G415" s="13"/>
      <x:c r="H415" s="52"/>
      <x:c r="I415" s="13"/>
      <x:c r="J415" s="13"/>
    </x:row>
    <x:row r="416">
      <x:c r="A416" s="51"/>
      <x:c r="B416" s="13"/>
      <x:c r="C416" s="13"/>
      <x:c r="D416" s="13"/>
      <x:c r="E416" s="13"/>
      <x:c r="F416" s="13"/>
      <x:c r="G416" s="13"/>
      <x:c r="H416" s="52"/>
      <x:c r="I416" s="13"/>
      <x:c r="J416" s="13"/>
    </x:row>
    <x:row r="417">
      <x:c r="A417" s="51"/>
      <x:c r="B417" s="13"/>
      <x:c r="C417" s="13"/>
      <x:c r="D417" s="13"/>
      <x:c r="E417" s="13"/>
      <x:c r="F417" s="13"/>
      <x:c r="G417" s="13"/>
      <x:c r="H417" s="52"/>
      <x:c r="I417" s="13"/>
      <x:c r="J417" s="13"/>
    </x:row>
    <x:row r="418">
      <x:c r="A418" s="51"/>
      <x:c r="B418" s="13"/>
      <x:c r="C418" s="13"/>
      <x:c r="D418" s="13"/>
      <x:c r="E418" s="13"/>
      <x:c r="F418" s="13"/>
      <x:c r="G418" s="13"/>
      <x:c r="H418" s="52"/>
      <x:c r="I418" s="13"/>
      <x:c r="J418" s="13"/>
    </x:row>
    <x:row r="419">
      <x:c r="A419" s="51"/>
      <x:c r="B419" s="13"/>
      <x:c r="C419" s="13"/>
      <x:c r="D419" s="13"/>
      <x:c r="E419" s="13"/>
      <x:c r="F419" s="13"/>
      <x:c r="G419" s="13"/>
      <x:c r="H419" s="52"/>
      <x:c r="I419" s="13"/>
      <x:c r="J419" s="13"/>
    </x:row>
    <x:row r="420">
      <x:c r="A420" s="51"/>
      <x:c r="B420" s="13"/>
      <x:c r="C420" s="13"/>
      <x:c r="D420" s="13"/>
      <x:c r="E420" s="13"/>
      <x:c r="F420" s="13"/>
      <x:c r="G420" s="13"/>
      <x:c r="H420" s="52"/>
      <x:c r="I420" s="13"/>
      <x:c r="J420" s="13"/>
    </x:row>
    <x:row r="421">
      <x:c r="A421" s="51"/>
      <x:c r="B421" s="13"/>
      <x:c r="C421" s="13"/>
      <x:c r="D421" s="13"/>
      <x:c r="E421" s="13"/>
      <x:c r="F421" s="13"/>
      <x:c r="G421" s="13"/>
      <x:c r="H421" s="52"/>
      <x:c r="I421" s="13"/>
      <x:c r="J421" s="13"/>
    </x:row>
    <x:row r="422">
      <x:c r="A422" s="51"/>
      <x:c r="B422" s="13"/>
      <x:c r="C422" s="13"/>
      <x:c r="D422" s="13"/>
      <x:c r="E422" s="13"/>
      <x:c r="F422" s="13"/>
      <x:c r="G422" s="13"/>
      <x:c r="H422" s="52"/>
      <x:c r="I422" s="13"/>
      <x:c r="J422" s="13"/>
    </x:row>
    <x:row r="423">
      <x:c r="A423" s="51"/>
      <x:c r="B423" s="13"/>
      <x:c r="C423" s="13"/>
      <x:c r="D423" s="13"/>
      <x:c r="E423" s="13"/>
      <x:c r="F423" s="13"/>
      <x:c r="G423" s="13"/>
      <x:c r="H423" s="52"/>
      <x:c r="I423" s="13"/>
      <x:c r="J423" s="13"/>
    </x:row>
    <x:row r="424">
      <x:c r="A424" s="51"/>
      <x:c r="B424" s="13"/>
      <x:c r="C424" s="13"/>
      <x:c r="D424" s="13"/>
      <x:c r="E424" s="13"/>
      <x:c r="F424" s="13"/>
      <x:c r="G424" s="13"/>
      <x:c r="H424" s="52"/>
      <x:c r="I424" s="13"/>
      <x:c r="J424" s="13"/>
    </x:row>
    <x:row r="425">
      <x:c r="A425" s="51"/>
      <x:c r="B425" s="13"/>
      <x:c r="C425" s="13"/>
      <x:c r="D425" s="13"/>
      <x:c r="E425" s="13"/>
      <x:c r="F425" s="13"/>
      <x:c r="G425" s="13"/>
      <x:c r="H425" s="52"/>
      <x:c r="I425" s="13"/>
      <x:c r="J425" s="13"/>
    </x:row>
    <x:row r="426">
      <x:c r="A426" s="51"/>
      <x:c r="B426" s="13"/>
      <x:c r="C426" s="13"/>
      <x:c r="D426" s="13"/>
      <x:c r="E426" s="13"/>
      <x:c r="F426" s="13"/>
      <x:c r="G426" s="13"/>
      <x:c r="H426" s="52"/>
      <x:c r="I426" s="13"/>
      <x:c r="J426" s="13"/>
    </x:row>
    <x:row r="427">
      <x:c r="A427" s="51"/>
      <x:c r="B427" s="13"/>
      <x:c r="C427" s="13"/>
      <x:c r="D427" s="13"/>
      <x:c r="E427" s="13"/>
      <x:c r="F427" s="13"/>
      <x:c r="G427" s="13"/>
      <x:c r="H427" s="52"/>
      <x:c r="I427" s="13"/>
      <x:c r="J427" s="13"/>
    </x:row>
    <x:row r="428">
      <x:c r="A428" s="51"/>
      <x:c r="B428" s="13"/>
      <x:c r="C428" s="13"/>
      <x:c r="D428" s="13"/>
      <x:c r="E428" s="13"/>
      <x:c r="F428" s="13"/>
      <x:c r="G428" s="13"/>
      <x:c r="H428" s="52"/>
      <x:c r="I428" s="13"/>
      <x:c r="J428" s="13"/>
    </x:row>
    <x:row r="429">
      <x:c r="A429" s="51"/>
      <x:c r="B429" s="13"/>
      <x:c r="C429" s="13"/>
      <x:c r="D429" s="13"/>
      <x:c r="E429" s="13"/>
      <x:c r="F429" s="13"/>
      <x:c r="G429" s="13"/>
      <x:c r="H429" s="52"/>
      <x:c r="I429" s="13"/>
      <x:c r="J429" s="13"/>
    </x:row>
    <x:row r="430">
      <x:c r="A430" s="51"/>
      <x:c r="B430" s="13"/>
      <x:c r="C430" s="13"/>
      <x:c r="D430" s="13"/>
      <x:c r="E430" s="13"/>
      <x:c r="F430" s="13"/>
      <x:c r="G430" s="13"/>
      <x:c r="H430" s="52"/>
      <x:c r="I430" s="13"/>
      <x:c r="J430" s="13"/>
    </x:row>
    <x:row r="431">
      <x:c r="A431" s="51"/>
      <x:c r="B431" s="13"/>
      <x:c r="C431" s="13"/>
      <x:c r="D431" s="13"/>
      <x:c r="E431" s="13"/>
      <x:c r="F431" s="13"/>
      <x:c r="G431" s="13"/>
      <x:c r="H431" s="52"/>
      <x:c r="I431" s="13"/>
      <x:c r="J431" s="13"/>
    </x:row>
    <x:row r="432">
      <x:c r="A432" s="51"/>
      <x:c r="B432" s="13"/>
      <x:c r="C432" s="13"/>
      <x:c r="D432" s="13"/>
      <x:c r="E432" s="13"/>
      <x:c r="F432" s="13"/>
      <x:c r="G432" s="13"/>
      <x:c r="H432" s="52"/>
      <x:c r="I432" s="13"/>
      <x:c r="J432" s="13"/>
    </x:row>
    <x:row r="433">
      <x:c r="A433" s="51"/>
      <x:c r="B433" s="13"/>
      <x:c r="C433" s="13"/>
      <x:c r="D433" s="13"/>
      <x:c r="E433" s="13"/>
      <x:c r="F433" s="13"/>
      <x:c r="G433" s="13"/>
      <x:c r="H433" s="52"/>
      <x:c r="I433" s="13"/>
      <x:c r="J433" s="13"/>
    </x:row>
    <x:row r="434">
      <x:c r="A434" s="51"/>
      <x:c r="B434" s="13"/>
      <x:c r="C434" s="13"/>
      <x:c r="D434" s="13"/>
      <x:c r="E434" s="13"/>
      <x:c r="F434" s="13"/>
      <x:c r="G434" s="13"/>
      <x:c r="H434" s="52"/>
      <x:c r="I434" s="13"/>
      <x:c r="J434" s="13"/>
    </x:row>
    <x:row r="435">
      <x:c r="A435" s="51"/>
      <x:c r="B435" s="13"/>
      <x:c r="C435" s="13"/>
      <x:c r="D435" s="13"/>
      <x:c r="E435" s="13"/>
      <x:c r="F435" s="13"/>
      <x:c r="G435" s="13"/>
      <x:c r="H435" s="52"/>
      <x:c r="I435" s="13"/>
      <x:c r="J435" s="13"/>
    </x:row>
    <x:row r="436">
      <x:c r="A436" s="51"/>
      <x:c r="B436" s="13"/>
      <x:c r="C436" s="13"/>
      <x:c r="D436" s="13"/>
      <x:c r="E436" s="13"/>
      <x:c r="F436" s="13"/>
      <x:c r="G436" s="13"/>
      <x:c r="H436" s="52"/>
      <x:c r="I436" s="13"/>
      <x:c r="J436" s="13"/>
    </x:row>
    <x:row r="437">
      <x:c r="A437" s="51"/>
      <x:c r="B437" s="13"/>
      <x:c r="C437" s="13"/>
      <x:c r="D437" s="13"/>
      <x:c r="E437" s="13"/>
      <x:c r="F437" s="13"/>
      <x:c r="G437" s="13"/>
      <x:c r="H437" s="52"/>
      <x:c r="I437" s="13"/>
      <x:c r="J437" s="13"/>
    </x:row>
    <x:row r="438">
      <x:c r="A438" s="51"/>
      <x:c r="B438" s="13"/>
      <x:c r="C438" s="13"/>
      <x:c r="D438" s="13"/>
      <x:c r="E438" s="13"/>
      <x:c r="F438" s="13"/>
      <x:c r="G438" s="13"/>
      <x:c r="H438" s="52"/>
      <x:c r="I438" s="13"/>
      <x:c r="J438" s="13"/>
    </x:row>
    <x:row r="439">
      <x:c r="A439" s="51"/>
      <x:c r="B439" s="13"/>
      <x:c r="C439" s="13"/>
      <x:c r="D439" s="13"/>
      <x:c r="E439" s="13"/>
      <x:c r="F439" s="13"/>
      <x:c r="G439" s="13"/>
      <x:c r="H439" s="52"/>
      <x:c r="I439" s="13"/>
      <x:c r="J439" s="13"/>
    </x:row>
    <x:row r="440">
      <x:c r="A440" s="51"/>
      <x:c r="B440" s="13"/>
      <x:c r="C440" s="13"/>
      <x:c r="D440" s="13"/>
      <x:c r="E440" s="13"/>
      <x:c r="F440" s="13"/>
      <x:c r="G440" s="13"/>
      <x:c r="H440" s="52"/>
      <x:c r="I440" s="13"/>
      <x:c r="J440" s="13"/>
    </x:row>
    <x:row r="441">
      <x:c r="A441" s="51"/>
      <x:c r="B441" s="13"/>
      <x:c r="C441" s="13"/>
      <x:c r="D441" s="13"/>
      <x:c r="E441" s="13"/>
      <x:c r="F441" s="13"/>
      <x:c r="G441" s="13"/>
      <x:c r="H441" s="52"/>
      <x:c r="I441" s="13"/>
      <x:c r="J441" s="13"/>
    </x:row>
    <x:row r="442">
      <x:c r="A442" s="51"/>
      <x:c r="B442" s="13"/>
      <x:c r="C442" s="13"/>
      <x:c r="D442" s="13"/>
      <x:c r="E442" s="13"/>
      <x:c r="F442" s="13"/>
      <x:c r="G442" s="13"/>
      <x:c r="H442" s="52"/>
      <x:c r="I442" s="13"/>
      <x:c r="J442" s="13"/>
    </x:row>
    <x:row r="443">
      <x:c r="A443" s="51"/>
      <x:c r="B443" s="13"/>
      <x:c r="C443" s="13"/>
      <x:c r="D443" s="13"/>
      <x:c r="E443" s="13"/>
      <x:c r="F443" s="13"/>
      <x:c r="G443" s="13"/>
      <x:c r="H443" s="52"/>
      <x:c r="I443" s="13"/>
      <x:c r="J443" s="13"/>
    </x:row>
    <x:row r="444">
      <x:c r="A444" s="51"/>
      <x:c r="B444" s="13"/>
      <x:c r="C444" s="13"/>
      <x:c r="D444" s="13"/>
      <x:c r="E444" s="13"/>
      <x:c r="F444" s="13"/>
      <x:c r="G444" s="13"/>
      <x:c r="H444" s="52"/>
      <x:c r="I444" s="13"/>
      <x:c r="J444" s="13"/>
    </x:row>
    <x:row r="445">
      <x:c r="A445" s="51"/>
      <x:c r="B445" s="13"/>
      <x:c r="C445" s="13"/>
      <x:c r="D445" s="13"/>
      <x:c r="E445" s="13"/>
      <x:c r="F445" s="13"/>
      <x:c r="G445" s="13"/>
      <x:c r="H445" s="52"/>
      <x:c r="I445" s="13"/>
      <x:c r="J445" s="13"/>
    </x:row>
    <x:row r="446">
      <x:c r="A446" s="51"/>
      <x:c r="B446" s="13"/>
      <x:c r="C446" s="13"/>
      <x:c r="D446" s="13"/>
      <x:c r="E446" s="13"/>
      <x:c r="F446" s="13"/>
      <x:c r="G446" s="13"/>
      <x:c r="H446" s="52"/>
      <x:c r="I446" s="13"/>
      <x:c r="J446" s="13"/>
    </x:row>
    <x:row r="447">
      <x:c r="A447" s="51"/>
      <x:c r="B447" s="13"/>
      <x:c r="C447" s="13"/>
      <x:c r="D447" s="13"/>
      <x:c r="E447" s="13"/>
      <x:c r="F447" s="13"/>
      <x:c r="G447" s="13"/>
      <x:c r="H447" s="52"/>
      <x:c r="I447" s="13"/>
      <x:c r="J447" s="13"/>
    </x:row>
    <x:row r="448">
      <x:c r="A448" s="51"/>
      <x:c r="B448" s="13"/>
      <x:c r="C448" s="13"/>
      <x:c r="D448" s="13"/>
      <x:c r="E448" s="13"/>
      <x:c r="F448" s="13"/>
      <x:c r="G448" s="13"/>
      <x:c r="H448" s="52"/>
      <x:c r="I448" s="13"/>
      <x:c r="J448" s="13"/>
    </x:row>
    <x:row r="449">
      <x:c r="A449" s="51"/>
      <x:c r="B449" s="13"/>
      <x:c r="C449" s="13"/>
      <x:c r="D449" s="13"/>
      <x:c r="E449" s="13"/>
      <x:c r="F449" s="13"/>
      <x:c r="G449" s="13"/>
      <x:c r="H449" s="52"/>
      <x:c r="I449" s="13"/>
      <x:c r="J449" s="13"/>
    </x:row>
    <x:row r="450">
      <x:c r="A450" s="51"/>
      <x:c r="B450" s="13"/>
      <x:c r="C450" s="13"/>
      <x:c r="D450" s="13"/>
      <x:c r="E450" s="13"/>
      <x:c r="F450" s="13"/>
      <x:c r="G450" s="13"/>
      <x:c r="H450" s="52"/>
      <x:c r="I450" s="13"/>
      <x:c r="J450" s="13"/>
    </x:row>
    <x:row r="451">
      <x:c r="A451" s="51"/>
      <x:c r="B451" s="13"/>
      <x:c r="C451" s="13"/>
      <x:c r="D451" s="13"/>
      <x:c r="E451" s="13"/>
      <x:c r="F451" s="13"/>
      <x:c r="G451" s="13"/>
      <x:c r="H451" s="52"/>
      <x:c r="I451" s="13"/>
      <x:c r="J451" s="13"/>
    </x:row>
    <x:row r="452">
      <x:c r="A452" s="51"/>
      <x:c r="B452" s="13"/>
      <x:c r="C452" s="13"/>
      <x:c r="D452" s="13"/>
      <x:c r="E452" s="13"/>
      <x:c r="F452" s="13"/>
      <x:c r="G452" s="13"/>
      <x:c r="H452" s="52"/>
      <x:c r="I452" s="13"/>
      <x:c r="J452" s="13"/>
    </x:row>
    <x:row r="453">
      <x:c r="A453" s="51"/>
      <x:c r="B453" s="13"/>
      <x:c r="C453" s="13"/>
      <x:c r="D453" s="13"/>
      <x:c r="E453" s="13"/>
      <x:c r="F453" s="13"/>
      <x:c r="G453" s="13"/>
      <x:c r="H453" s="52"/>
      <x:c r="I453" s="13"/>
      <x:c r="J453" s="13"/>
    </x:row>
    <x:row r="454">
      <x:c r="A454" s="51"/>
      <x:c r="B454" s="13"/>
      <x:c r="C454" s="13"/>
      <x:c r="D454" s="13"/>
      <x:c r="E454" s="13"/>
      <x:c r="F454" s="13"/>
      <x:c r="G454" s="13"/>
      <x:c r="H454" s="52"/>
      <x:c r="I454" s="13"/>
      <x:c r="J454" s="13"/>
    </x:row>
    <x:row r="455">
      <x:c r="A455" s="51"/>
      <x:c r="B455" s="13"/>
      <x:c r="C455" s="13"/>
      <x:c r="D455" s="13"/>
      <x:c r="E455" s="13"/>
      <x:c r="F455" s="13"/>
      <x:c r="G455" s="13"/>
      <x:c r="H455" s="52"/>
      <x:c r="I455" s="13"/>
      <x:c r="J455" s="13"/>
    </x:row>
    <x:row r="456">
      <x:c r="A456" s="51"/>
      <x:c r="B456" s="13"/>
      <x:c r="C456" s="13"/>
      <x:c r="D456" s="13"/>
      <x:c r="E456" s="13"/>
      <x:c r="F456" s="13"/>
      <x:c r="G456" s="13"/>
      <x:c r="H456" s="52"/>
      <x:c r="I456" s="13"/>
      <x:c r="J456" s="13"/>
    </x:row>
    <x:row r="457">
      <x:c r="A457" s="51"/>
      <x:c r="B457" s="13"/>
      <x:c r="C457" s="13"/>
      <x:c r="D457" s="13"/>
      <x:c r="E457" s="13"/>
      <x:c r="F457" s="13"/>
      <x:c r="G457" s="13"/>
      <x:c r="H457" s="52"/>
      <x:c r="I457" s="13"/>
      <x:c r="J457" s="13"/>
    </x:row>
    <x:row r="458">
      <x:c r="A458" s="51"/>
      <x:c r="B458" s="13"/>
      <x:c r="C458" s="13"/>
      <x:c r="D458" s="13"/>
      <x:c r="E458" s="13"/>
      <x:c r="F458" s="13"/>
      <x:c r="G458" s="13"/>
      <x:c r="H458" s="52"/>
      <x:c r="I458" s="13"/>
      <x:c r="J458" s="13"/>
    </x:row>
    <x:row r="459">
      <x:c r="A459" s="51"/>
      <x:c r="B459" s="13"/>
      <x:c r="C459" s="13"/>
      <x:c r="D459" s="13"/>
      <x:c r="E459" s="13"/>
      <x:c r="F459" s="13"/>
      <x:c r="G459" s="13"/>
      <x:c r="H459" s="52"/>
      <x:c r="I459" s="13"/>
      <x:c r="J459" s="13"/>
    </x:row>
    <x:row r="460">
      <x:c r="A460" s="51"/>
      <x:c r="B460" s="13"/>
      <x:c r="C460" s="13"/>
      <x:c r="D460" s="13"/>
      <x:c r="E460" s="13"/>
      <x:c r="F460" s="13"/>
      <x:c r="G460" s="13"/>
      <x:c r="H460" s="52"/>
      <x:c r="I460" s="13"/>
      <x:c r="J460" s="13"/>
    </x:row>
    <x:row r="461">
      <x:c r="A461" s="51"/>
      <x:c r="B461" s="13"/>
      <x:c r="C461" s="13"/>
      <x:c r="D461" s="13"/>
      <x:c r="E461" s="13"/>
      <x:c r="F461" s="13"/>
      <x:c r="G461" s="13"/>
      <x:c r="H461" s="52"/>
      <x:c r="I461" s="13"/>
      <x:c r="J461" s="13"/>
    </x:row>
    <x:row r="462">
      <x:c r="A462" s="51"/>
      <x:c r="B462" s="13"/>
      <x:c r="C462" s="13"/>
      <x:c r="D462" s="13"/>
      <x:c r="E462" s="13"/>
      <x:c r="F462" s="13"/>
      <x:c r="G462" s="13"/>
      <x:c r="H462" s="52"/>
      <x:c r="I462" s="13"/>
      <x:c r="J462" s="13"/>
    </x:row>
    <x:row r="463">
      <x:c r="A463" s="51"/>
      <x:c r="B463" s="13"/>
      <x:c r="C463" s="13"/>
      <x:c r="D463" s="13"/>
      <x:c r="E463" s="13"/>
      <x:c r="F463" s="13"/>
      <x:c r="G463" s="13"/>
      <x:c r="H463" s="52"/>
      <x:c r="I463" s="13"/>
      <x:c r="J463" s="13"/>
    </x:row>
    <x:row r="464">
      <x:c r="A464" s="51"/>
      <x:c r="B464" s="13"/>
      <x:c r="C464" s="13"/>
      <x:c r="D464" s="13"/>
      <x:c r="E464" s="13"/>
      <x:c r="F464" s="13"/>
      <x:c r="G464" s="13"/>
      <x:c r="H464" s="52"/>
      <x:c r="I464" s="13"/>
      <x:c r="J464" s="13"/>
    </x:row>
    <x:row r="465">
      <x:c r="A465" s="51"/>
      <x:c r="B465" s="13"/>
      <x:c r="C465" s="13"/>
      <x:c r="D465" s="13"/>
      <x:c r="E465" s="13"/>
      <x:c r="F465" s="13"/>
      <x:c r="G465" s="13"/>
      <x:c r="H465" s="52"/>
      <x:c r="I465" s="13"/>
      <x:c r="J465" s="13"/>
    </x:row>
    <x:row r="466">
      <x:c r="A466" s="51"/>
      <x:c r="B466" s="13"/>
      <x:c r="C466" s="13"/>
      <x:c r="D466" s="13"/>
      <x:c r="E466" s="13"/>
      <x:c r="F466" s="13"/>
      <x:c r="G466" s="13"/>
      <x:c r="H466" s="52"/>
      <x:c r="I466" s="13"/>
      <x:c r="J466" s="13"/>
    </x:row>
    <x:row r="467">
      <x:c r="A467" s="51"/>
      <x:c r="B467" s="13"/>
      <x:c r="C467" s="13"/>
      <x:c r="D467" s="13"/>
      <x:c r="E467" s="13"/>
      <x:c r="F467" s="13"/>
      <x:c r="G467" s="13"/>
      <x:c r="H467" s="52"/>
      <x:c r="I467" s="13"/>
      <x:c r="J467" s="13"/>
    </x:row>
    <x:row r="468">
      <x:c r="A468" s="51"/>
      <x:c r="B468" s="13"/>
      <x:c r="C468" s="13"/>
      <x:c r="D468" s="13"/>
      <x:c r="E468" s="13"/>
      <x:c r="F468" s="13"/>
      <x:c r="G468" s="13"/>
      <x:c r="H468" s="52"/>
      <x:c r="I468" s="13"/>
      <x:c r="J468" s="13"/>
    </x:row>
    <x:row r="469">
      <x:c r="A469" s="51"/>
      <x:c r="B469" s="13"/>
      <x:c r="C469" s="13"/>
      <x:c r="D469" s="13"/>
      <x:c r="E469" s="13"/>
      <x:c r="F469" s="13"/>
      <x:c r="G469" s="13"/>
      <x:c r="H469" s="52"/>
      <x:c r="I469" s="13"/>
      <x:c r="J469" s="13"/>
    </x:row>
    <x:row r="470">
      <x:c r="A470" s="51"/>
      <x:c r="B470" s="13"/>
      <x:c r="C470" s="13"/>
      <x:c r="D470" s="13"/>
      <x:c r="E470" s="13"/>
      <x:c r="F470" s="13"/>
      <x:c r="G470" s="13"/>
      <x:c r="H470" s="52"/>
      <x:c r="I470" s="13"/>
      <x:c r="J470" s="13"/>
    </x:row>
    <x:row r="471">
      <x:c r="A471" s="51"/>
      <x:c r="B471" s="13"/>
      <x:c r="C471" s="13"/>
      <x:c r="D471" s="13"/>
      <x:c r="E471" s="13"/>
      <x:c r="F471" s="13"/>
      <x:c r="G471" s="13"/>
      <x:c r="H471" s="52"/>
      <x:c r="I471" s="13"/>
      <x:c r="J471" s="13"/>
    </x:row>
    <x:row r="472">
      <x:c r="A472" s="51"/>
      <x:c r="B472" s="13"/>
      <x:c r="C472" s="13"/>
      <x:c r="D472" s="13"/>
      <x:c r="E472" s="13"/>
      <x:c r="F472" s="13"/>
      <x:c r="G472" s="13"/>
      <x:c r="H472" s="52"/>
      <x:c r="I472" s="13"/>
      <x:c r="J472" s="13"/>
    </x:row>
    <x:row r="473">
      <x:c r="A473" s="51"/>
      <x:c r="B473" s="13"/>
      <x:c r="C473" s="13"/>
      <x:c r="D473" s="13"/>
      <x:c r="E473" s="13"/>
      <x:c r="F473" s="13"/>
      <x:c r="G473" s="13"/>
      <x:c r="H473" s="52"/>
      <x:c r="I473" s="13"/>
      <x:c r="J473" s="13"/>
    </x:row>
    <x:row r="474">
      <x:c r="A474" s="51"/>
      <x:c r="B474" s="13"/>
      <x:c r="C474" s="13"/>
      <x:c r="D474" s="13"/>
      <x:c r="E474" s="13"/>
      <x:c r="F474" s="13"/>
      <x:c r="G474" s="13"/>
      <x:c r="H474" s="52"/>
      <x:c r="I474" s="13"/>
      <x:c r="J474" s="13"/>
    </x:row>
    <x:row r="475">
      <x:c r="A475" s="51"/>
      <x:c r="B475" s="13"/>
      <x:c r="C475" s="13"/>
      <x:c r="D475" s="13"/>
      <x:c r="E475" s="13"/>
      <x:c r="F475" s="13"/>
      <x:c r="G475" s="13"/>
      <x:c r="H475" s="52"/>
      <x:c r="I475" s="13"/>
      <x:c r="J475" s="13"/>
    </x:row>
    <x:row r="476">
      <x:c r="A476" s="51"/>
      <x:c r="B476" s="13"/>
      <x:c r="C476" s="13"/>
      <x:c r="D476" s="13"/>
      <x:c r="E476" s="13"/>
      <x:c r="F476" s="13"/>
      <x:c r="G476" s="13"/>
      <x:c r="H476" s="52"/>
      <x:c r="I476" s="13"/>
      <x:c r="J476" s="13"/>
    </x:row>
    <x:row r="477">
      <x:c r="A477" s="51"/>
      <x:c r="B477" s="13"/>
      <x:c r="C477" s="13"/>
      <x:c r="D477" s="13"/>
      <x:c r="E477" s="13"/>
      <x:c r="F477" s="13"/>
      <x:c r="G477" s="13"/>
      <x:c r="H477" s="52"/>
      <x:c r="I477" s="13"/>
      <x:c r="J477" s="13"/>
    </x:row>
    <x:row r="478">
      <x:c r="A478" s="51"/>
      <x:c r="B478" s="13"/>
      <x:c r="C478" s="13"/>
      <x:c r="D478" s="13"/>
      <x:c r="E478" s="13"/>
      <x:c r="F478" s="13"/>
      <x:c r="G478" s="13"/>
      <x:c r="H478" s="52"/>
      <x:c r="I478" s="13"/>
      <x:c r="J478" s="13"/>
    </x:row>
    <x:row r="479">
      <x:c r="A479" s="51"/>
      <x:c r="B479" s="13"/>
      <x:c r="C479" s="13"/>
      <x:c r="D479" s="13"/>
      <x:c r="E479" s="13"/>
      <x:c r="F479" s="13"/>
      <x:c r="G479" s="13"/>
      <x:c r="H479" s="52"/>
      <x:c r="I479" s="13"/>
      <x:c r="J479" s="13"/>
    </x:row>
    <x:row r="480">
      <x:c r="A480" s="51"/>
      <x:c r="B480" s="13"/>
      <x:c r="C480" s="13"/>
      <x:c r="D480" s="13"/>
      <x:c r="E480" s="13"/>
      <x:c r="F480" s="13"/>
      <x:c r="G480" s="13"/>
      <x:c r="H480" s="52"/>
      <x:c r="I480" s="13"/>
      <x:c r="J480" s="13"/>
    </x:row>
    <x:row r="481">
      <x:c r="A481" s="51"/>
      <x:c r="B481" s="13"/>
      <x:c r="C481" s="13"/>
      <x:c r="D481" s="13"/>
      <x:c r="E481" s="13"/>
      <x:c r="F481" s="13"/>
      <x:c r="G481" s="13"/>
      <x:c r="H481" s="52"/>
      <x:c r="I481" s="13"/>
      <x:c r="J481" s="13"/>
    </x:row>
    <x:row r="482">
      <x:c r="A482" s="51"/>
      <x:c r="B482" s="13"/>
      <x:c r="C482" s="13"/>
      <x:c r="D482" s="13"/>
      <x:c r="E482" s="13"/>
      <x:c r="F482" s="13"/>
      <x:c r="G482" s="13"/>
      <x:c r="H482" s="52"/>
      <x:c r="I482" s="13"/>
      <x:c r="J482" s="13"/>
    </x:row>
    <x:row r="483">
      <x:c r="A483" s="51"/>
      <x:c r="B483" s="13"/>
      <x:c r="C483" s="13"/>
      <x:c r="D483" s="13"/>
      <x:c r="E483" s="13"/>
      <x:c r="F483" s="13"/>
      <x:c r="G483" s="13"/>
      <x:c r="H483" s="52"/>
      <x:c r="I483" s="13"/>
      <x:c r="J483" s="13"/>
    </x:row>
    <x:row r="484">
      <x:c r="A484" s="51"/>
      <x:c r="B484" s="13"/>
      <x:c r="C484" s="13"/>
      <x:c r="D484" s="13"/>
      <x:c r="E484" s="13"/>
      <x:c r="F484" s="13"/>
      <x:c r="G484" s="13"/>
      <x:c r="H484" s="52"/>
      <x:c r="I484" s="13"/>
      <x:c r="J484" s="13"/>
    </x:row>
    <x:row r="485">
      <x:c r="A485" s="51"/>
      <x:c r="B485" s="13"/>
      <x:c r="C485" s="13"/>
      <x:c r="D485" s="13"/>
      <x:c r="E485" s="13"/>
      <x:c r="F485" s="13"/>
      <x:c r="G485" s="13"/>
      <x:c r="H485" s="52"/>
      <x:c r="I485" s="13"/>
      <x:c r="J485" s="13"/>
    </x:row>
    <x:row r="486">
      <x:c r="A486" s="51"/>
      <x:c r="B486" s="13"/>
      <x:c r="C486" s="13"/>
      <x:c r="D486" s="13"/>
      <x:c r="E486" s="13"/>
      <x:c r="F486" s="13"/>
      <x:c r="G486" s="13"/>
      <x:c r="H486" s="52"/>
      <x:c r="I486" s="13"/>
      <x:c r="J486" s="13"/>
    </x:row>
    <x:row r="487">
      <x:c r="A487" s="51"/>
      <x:c r="B487" s="13"/>
      <x:c r="C487" s="13"/>
      <x:c r="D487" s="13"/>
      <x:c r="E487" s="13"/>
      <x:c r="F487" s="13"/>
      <x:c r="G487" s="13"/>
      <x:c r="H487" s="52"/>
      <x:c r="I487" s="13"/>
      <x:c r="J487" s="13"/>
    </x:row>
    <x:row r="488">
      <x:c r="A488" s="51"/>
      <x:c r="B488" s="13"/>
      <x:c r="C488" s="13"/>
      <x:c r="D488" s="13"/>
      <x:c r="E488" s="13"/>
      <x:c r="F488" s="13"/>
      <x:c r="G488" s="13"/>
      <x:c r="H488" s="52"/>
      <x:c r="I488" s="13"/>
      <x:c r="J488" s="13"/>
    </x:row>
    <x:row r="489">
      <x:c r="A489" s="51"/>
      <x:c r="B489" s="13"/>
      <x:c r="C489" s="13"/>
      <x:c r="D489" s="13"/>
      <x:c r="E489" s="13"/>
      <x:c r="F489" s="13"/>
      <x:c r="G489" s="13"/>
      <x:c r="H489" s="52"/>
      <x:c r="I489" s="13"/>
      <x:c r="J489" s="13"/>
    </x:row>
    <x:row r="490">
      <x:c r="A490" s="51"/>
      <x:c r="B490" s="13"/>
      <x:c r="C490" s="13"/>
      <x:c r="D490" s="13"/>
      <x:c r="E490" s="13"/>
      <x:c r="F490" s="13"/>
      <x:c r="G490" s="13"/>
      <x:c r="H490" s="52"/>
      <x:c r="I490" s="13"/>
      <x:c r="J490" s="13"/>
    </x:row>
    <x:row r="491">
      <x:c r="A491" s="51"/>
      <x:c r="B491" s="13"/>
      <x:c r="C491" s="13"/>
      <x:c r="D491" s="13"/>
      <x:c r="E491" s="13"/>
      <x:c r="F491" s="13"/>
      <x:c r="G491" s="13"/>
      <x:c r="H491" s="52"/>
      <x:c r="I491" s="13"/>
      <x:c r="J491" s="13"/>
    </x:row>
    <x:row r="492">
      <x:c r="A492" s="51"/>
      <x:c r="B492" s="13"/>
      <x:c r="C492" s="13"/>
      <x:c r="D492" s="13"/>
      <x:c r="E492" s="13"/>
      <x:c r="F492" s="13"/>
      <x:c r="G492" s="13"/>
      <x:c r="H492" s="52"/>
      <x:c r="I492" s="13"/>
      <x:c r="J492" s="13"/>
    </x:row>
    <x:row r="493">
      <x:c r="A493" s="51"/>
      <x:c r="B493" s="13"/>
      <x:c r="C493" s="13"/>
      <x:c r="D493" s="13"/>
      <x:c r="E493" s="13"/>
      <x:c r="F493" s="13"/>
      <x:c r="G493" s="13"/>
      <x:c r="H493" s="52"/>
      <x:c r="I493" s="13"/>
      <x:c r="J493" s="13"/>
    </x:row>
    <x:row r="494">
      <x:c r="A494" s="51"/>
      <x:c r="B494" s="13"/>
      <x:c r="C494" s="13"/>
      <x:c r="D494" s="13"/>
      <x:c r="E494" s="13"/>
      <x:c r="F494" s="13"/>
      <x:c r="G494" s="13"/>
      <x:c r="H494" s="52"/>
      <x:c r="I494" s="13"/>
      <x:c r="J494" s="13"/>
    </x:row>
    <x:row r="495">
      <x:c r="A495" s="51"/>
      <x:c r="B495" s="13"/>
      <x:c r="C495" s="13"/>
      <x:c r="D495" s="13"/>
      <x:c r="E495" s="13"/>
      <x:c r="F495" s="13"/>
      <x:c r="G495" s="13"/>
      <x:c r="H495" s="52"/>
      <x:c r="I495" s="13"/>
      <x:c r="J495" s="13"/>
    </x:row>
    <x:row r="496">
      <x:c r="A496" s="51"/>
      <x:c r="B496" s="13"/>
      <x:c r="C496" s="13"/>
      <x:c r="D496" s="13"/>
      <x:c r="E496" s="13"/>
      <x:c r="F496" s="13"/>
      <x:c r="G496" s="13"/>
      <x:c r="H496" s="52"/>
      <x:c r="I496" s="13"/>
      <x:c r="J496" s="13"/>
    </x:row>
    <x:row r="497">
      <x:c r="A497" s="51"/>
      <x:c r="B497" s="13"/>
      <x:c r="C497" s="13"/>
      <x:c r="D497" s="13"/>
      <x:c r="E497" s="13"/>
      <x:c r="F497" s="13"/>
      <x:c r="G497" s="13"/>
      <x:c r="H497" s="52"/>
      <x:c r="I497" s="13"/>
      <x:c r="J497" s="13"/>
    </x:row>
    <x:row r="498">
      <x:c r="A498" s="51"/>
      <x:c r="B498" s="13"/>
      <x:c r="C498" s="13"/>
      <x:c r="D498" s="13"/>
      <x:c r="E498" s="13"/>
      <x:c r="F498" s="13"/>
      <x:c r="G498" s="13"/>
      <x:c r="H498" s="52"/>
      <x:c r="I498" s="13"/>
      <x:c r="J498" s="13"/>
    </x:row>
    <x:row r="499">
      <x:c r="A499" s="51"/>
      <x:c r="B499" s="13"/>
      <x:c r="C499" s="13"/>
      <x:c r="D499" s="13"/>
      <x:c r="E499" s="13"/>
      <x:c r="F499" s="13"/>
      <x:c r="G499" s="13"/>
      <x:c r="H499" s="52"/>
      <x:c r="I499" s="13"/>
      <x:c r="J499" s="13"/>
    </x:row>
    <x:row r="500">
      <x:c r="A500" s="51"/>
      <x:c r="B500" s="13"/>
      <x:c r="C500" s="13"/>
      <x:c r="D500" s="13"/>
      <x:c r="E500" s="13"/>
      <x:c r="F500" s="13"/>
      <x:c r="G500" s="13"/>
      <x:c r="H500" s="52"/>
      <x:c r="I500" s="13"/>
      <x:c r="J500" s="13"/>
    </x:row>
    <x:row r="501">
      <x:c r="A501" s="51"/>
      <x:c r="B501" s="13"/>
      <x:c r="C501" s="13"/>
      <x:c r="D501" s="13"/>
      <x:c r="E501" s="13"/>
      <x:c r="F501" s="13"/>
      <x:c r="G501" s="13"/>
      <x:c r="H501" s="52"/>
      <x:c r="I501" s="13"/>
      <x:c r="J501" s="13"/>
    </x:row>
    <x:row r="502">
      <x:c r="A502" s="51"/>
      <x:c r="B502" s="13"/>
      <x:c r="C502" s="13"/>
      <x:c r="D502" s="13"/>
      <x:c r="E502" s="13"/>
      <x:c r="F502" s="13"/>
      <x:c r="G502" s="13"/>
      <x:c r="H502" s="52"/>
      <x:c r="I502" s="13"/>
      <x:c r="J502" s="13"/>
    </x:row>
    <x:row r="503">
      <x:c r="A503" s="51"/>
      <x:c r="B503" s="13"/>
      <x:c r="C503" s="13"/>
      <x:c r="D503" s="13"/>
      <x:c r="E503" s="13"/>
      <x:c r="F503" s="13"/>
      <x:c r="G503" s="13"/>
      <x:c r="H503" s="52"/>
      <x:c r="I503" s="13"/>
      <x:c r="J503" s="13"/>
    </x:row>
    <x:row r="504">
      <x:c r="A504" s="51"/>
      <x:c r="B504" s="13"/>
      <x:c r="C504" s="13"/>
      <x:c r="D504" s="13"/>
      <x:c r="E504" s="13"/>
      <x:c r="F504" s="13"/>
      <x:c r="G504" s="13"/>
      <x:c r="H504" s="52"/>
      <x:c r="I504" s="13"/>
      <x:c r="J504" s="13"/>
    </x:row>
    <x:row r="505">
      <x:c r="A505" s="51"/>
      <x:c r="B505" s="13"/>
      <x:c r="C505" s="13"/>
      <x:c r="D505" s="13"/>
      <x:c r="E505" s="13"/>
      <x:c r="F505" s="13"/>
      <x:c r="G505" s="13"/>
      <x:c r="H505" s="52"/>
      <x:c r="I505" s="13"/>
      <x:c r="J505" s="13"/>
    </x:row>
    <x:row r="506">
      <x:c r="A506" s="51"/>
      <x:c r="B506" s="13"/>
      <x:c r="C506" s="13"/>
      <x:c r="D506" s="13"/>
      <x:c r="E506" s="13"/>
      <x:c r="F506" s="13"/>
      <x:c r="G506" s="13"/>
      <x:c r="H506" s="52"/>
      <x:c r="I506" s="13"/>
      <x:c r="J506" s="13"/>
    </x:row>
    <x:row r="507">
      <x:c r="A507" s="51"/>
      <x:c r="B507" s="13"/>
      <x:c r="C507" s="13"/>
      <x:c r="D507" s="13"/>
      <x:c r="E507" s="13"/>
      <x:c r="F507" s="13"/>
      <x:c r="G507" s="13"/>
      <x:c r="H507" s="52"/>
      <x:c r="I507" s="13"/>
      <x:c r="J507" s="13"/>
    </x:row>
    <x:row r="508">
      <x:c r="A508" s="51"/>
      <x:c r="B508" s="13"/>
      <x:c r="C508" s="13"/>
      <x:c r="D508" s="13"/>
      <x:c r="E508" s="13"/>
      <x:c r="F508" s="13"/>
      <x:c r="G508" s="13"/>
      <x:c r="H508" s="52"/>
      <x:c r="I508" s="13"/>
      <x:c r="J508" s="13"/>
    </x:row>
    <x:row r="509">
      <x:c r="A509" s="51"/>
      <x:c r="B509" s="13"/>
      <x:c r="C509" s="13"/>
      <x:c r="D509" s="13"/>
      <x:c r="E509" s="13"/>
      <x:c r="F509" s="13"/>
      <x:c r="G509" s="13"/>
      <x:c r="H509" s="52"/>
      <x:c r="I509" s="13"/>
      <x:c r="J509" s="13"/>
    </x:row>
    <x:row r="510">
      <x:c r="A510" s="51"/>
      <x:c r="B510" s="13"/>
      <x:c r="C510" s="13"/>
      <x:c r="D510" s="13"/>
      <x:c r="E510" s="13"/>
      <x:c r="F510" s="13"/>
      <x:c r="G510" s="13"/>
      <x:c r="H510" s="52"/>
      <x:c r="I510" s="13"/>
      <x:c r="J510" s="13"/>
    </x:row>
    <x:row r="511">
      <x:c r="A511" s="51"/>
      <x:c r="B511" s="13"/>
      <x:c r="C511" s="13"/>
      <x:c r="D511" s="13"/>
      <x:c r="E511" s="13"/>
      <x:c r="F511" s="13"/>
      <x:c r="G511" s="13"/>
      <x:c r="H511" s="52"/>
      <x:c r="I511" s="13"/>
      <x:c r="J511" s="13"/>
    </x:row>
    <x:row r="512">
      <x:c r="A512" s="51"/>
      <x:c r="B512" s="13"/>
      <x:c r="C512" s="13"/>
      <x:c r="D512" s="13"/>
      <x:c r="E512" s="13"/>
      <x:c r="F512" s="13"/>
      <x:c r="G512" s="13"/>
      <x:c r="H512" s="52"/>
      <x:c r="I512" s="13"/>
      <x:c r="J512" s="13"/>
    </x:row>
    <x:row r="513">
      <x:c r="A513" s="51"/>
      <x:c r="B513" s="13"/>
      <x:c r="C513" s="13"/>
      <x:c r="D513" s="13"/>
      <x:c r="E513" s="13"/>
      <x:c r="F513" s="13"/>
      <x:c r="G513" s="13"/>
      <x:c r="H513" s="52"/>
      <x:c r="I513" s="13"/>
      <x:c r="J513" s="13"/>
    </x:row>
    <x:row r="514">
      <x:c r="A514" s="51"/>
      <x:c r="B514" s="13"/>
      <x:c r="C514" s="13"/>
      <x:c r="D514" s="13"/>
      <x:c r="E514" s="13"/>
      <x:c r="F514" s="13"/>
      <x:c r="G514" s="13"/>
      <x:c r="H514" s="52"/>
      <x:c r="I514" s="13"/>
      <x:c r="J514" s="13"/>
    </x:row>
    <x:row r="515">
      <x:c r="A515" s="51"/>
      <x:c r="B515" s="13"/>
      <x:c r="C515" s="13"/>
      <x:c r="D515" s="13"/>
      <x:c r="E515" s="13"/>
      <x:c r="F515" s="13"/>
      <x:c r="G515" s="13"/>
      <x:c r="H515" s="52"/>
      <x:c r="I515" s="13"/>
      <x:c r="J515" s="13"/>
    </x:row>
    <x:row r="516">
      <x:c r="A516" s="51"/>
      <x:c r="B516" s="13"/>
      <x:c r="C516" s="13"/>
      <x:c r="D516" s="13"/>
      <x:c r="E516" s="13"/>
      <x:c r="F516" s="13"/>
      <x:c r="G516" s="13"/>
      <x:c r="H516" s="52"/>
      <x:c r="I516" s="13"/>
      <x:c r="J516" s="13"/>
    </x:row>
    <x:row r="517">
      <x:c r="A517" s="51"/>
      <x:c r="B517" s="13"/>
      <x:c r="C517" s="13"/>
      <x:c r="D517" s="13"/>
      <x:c r="E517" s="13"/>
      <x:c r="F517" s="13"/>
      <x:c r="G517" s="13"/>
      <x:c r="H517" s="52"/>
      <x:c r="I517" s="13"/>
      <x:c r="J517" s="13"/>
    </x:row>
    <x:row r="518">
      <x:c r="A518" s="51"/>
      <x:c r="B518" s="13"/>
      <x:c r="C518" s="13"/>
      <x:c r="D518" s="13"/>
      <x:c r="E518" s="13"/>
      <x:c r="F518" s="13"/>
      <x:c r="G518" s="13"/>
      <x:c r="H518" s="52"/>
      <x:c r="I518" s="13"/>
      <x:c r="J518" s="13"/>
    </x:row>
    <x:row r="519">
      <x:c r="A519" s="51"/>
      <x:c r="B519" s="13"/>
      <x:c r="C519" s="13"/>
      <x:c r="D519" s="13"/>
      <x:c r="E519" s="13"/>
      <x:c r="F519" s="13"/>
      <x:c r="G519" s="13"/>
      <x:c r="H519" s="52"/>
      <x:c r="I519" s="13"/>
      <x:c r="J519" s="13"/>
    </x:row>
    <x:row r="520">
      <x:c r="A520" s="51"/>
      <x:c r="B520" s="13"/>
      <x:c r="C520" s="13"/>
      <x:c r="D520" s="13"/>
      <x:c r="E520" s="13"/>
      <x:c r="F520" s="13"/>
      <x:c r="G520" s="13"/>
      <x:c r="H520" s="52"/>
      <x:c r="I520" s="13"/>
      <x:c r="J520" s="13"/>
    </x:row>
    <x:row r="521">
      <x:c r="A521" s="51"/>
      <x:c r="B521" s="13"/>
      <x:c r="C521" s="13"/>
      <x:c r="D521" s="13"/>
      <x:c r="E521" s="13"/>
      <x:c r="F521" s="13"/>
      <x:c r="G521" s="13"/>
      <x:c r="H521" s="52"/>
      <x:c r="I521" s="13"/>
      <x:c r="J521" s="13"/>
    </x:row>
    <x:row r="522">
      <x:c r="A522" s="51"/>
      <x:c r="B522" s="13"/>
      <x:c r="C522" s="13"/>
      <x:c r="D522" s="13"/>
      <x:c r="E522" s="13"/>
      <x:c r="F522" s="13"/>
      <x:c r="G522" s="13"/>
      <x:c r="H522" s="52"/>
      <x:c r="I522" s="13"/>
      <x:c r="J522" s="13"/>
    </x:row>
    <x:row r="523">
      <x:c r="A523" s="51"/>
      <x:c r="B523" s="13"/>
      <x:c r="C523" s="13"/>
      <x:c r="D523" s="13"/>
      <x:c r="E523" s="13"/>
      <x:c r="F523" s="13"/>
      <x:c r="G523" s="13"/>
      <x:c r="H523" s="52"/>
      <x:c r="I523" s="13"/>
      <x:c r="J523" s="13"/>
    </x:row>
    <x:row r="524">
      <x:c r="A524" s="51"/>
      <x:c r="B524" s="13"/>
      <x:c r="C524" s="13"/>
      <x:c r="D524" s="13"/>
      <x:c r="E524" s="13"/>
      <x:c r="F524" s="13"/>
      <x:c r="G524" s="13"/>
      <x:c r="H524" s="52"/>
      <x:c r="I524" s="13"/>
      <x:c r="J524" s="13"/>
    </x:row>
    <x:row r="525">
      <x:c r="A525" s="51"/>
      <x:c r="B525" s="13"/>
      <x:c r="C525" s="13"/>
      <x:c r="D525" s="13"/>
      <x:c r="E525" s="13"/>
      <x:c r="F525" s="13"/>
      <x:c r="G525" s="13"/>
      <x:c r="H525" s="52"/>
      <x:c r="I525" s="13"/>
      <x:c r="J525" s="13"/>
    </x:row>
    <x:row r="526">
      <x:c r="A526" s="51"/>
      <x:c r="B526" s="13"/>
      <x:c r="C526" s="13"/>
      <x:c r="D526" s="13"/>
      <x:c r="E526" s="13"/>
      <x:c r="F526" s="13"/>
      <x:c r="G526" s="13"/>
      <x:c r="H526" s="52"/>
      <x:c r="I526" s="13"/>
      <x:c r="J526" s="13"/>
    </x:row>
    <x:row r="527">
      <x:c r="A527" s="51"/>
      <x:c r="B527" s="13"/>
      <x:c r="C527" s="13"/>
      <x:c r="D527" s="13"/>
      <x:c r="E527" s="13"/>
      <x:c r="F527" s="13"/>
      <x:c r="G527" s="13"/>
      <x:c r="H527" s="52"/>
      <x:c r="I527" s="13"/>
      <x:c r="J527" s="13"/>
    </x:row>
    <x:row r="528">
      <x:c r="A528" s="51"/>
      <x:c r="B528" s="13"/>
      <x:c r="C528" s="13"/>
      <x:c r="D528" s="13"/>
      <x:c r="E528" s="13"/>
      <x:c r="F528" s="13"/>
      <x:c r="G528" s="13"/>
      <x:c r="H528" s="52"/>
      <x:c r="I528" s="13"/>
      <x:c r="J528" s="13"/>
    </x:row>
    <x:row r="529">
      <x:c r="A529" s="51"/>
      <x:c r="B529" s="13"/>
      <x:c r="C529" s="13"/>
      <x:c r="D529" s="13"/>
      <x:c r="E529" s="13"/>
      <x:c r="F529" s="13"/>
      <x:c r="G529" s="13"/>
      <x:c r="H529" s="52"/>
      <x:c r="I529" s="13"/>
      <x:c r="J529" s="13"/>
    </x:row>
    <x:row r="530">
      <x:c r="A530" s="51"/>
      <x:c r="B530" s="13"/>
      <x:c r="C530" s="13"/>
      <x:c r="D530" s="13"/>
      <x:c r="E530" s="13"/>
      <x:c r="F530" s="13"/>
      <x:c r="G530" s="13"/>
      <x:c r="H530" s="52"/>
      <x:c r="I530" s="13"/>
      <x:c r="J530" s="13"/>
    </x:row>
    <x:row r="531">
      <x:c r="A531" s="51"/>
      <x:c r="B531" s="13"/>
      <x:c r="C531" s="13"/>
      <x:c r="D531" s="13"/>
      <x:c r="E531" s="13"/>
      <x:c r="F531" s="13"/>
      <x:c r="G531" s="13"/>
      <x:c r="H531" s="52"/>
      <x:c r="I531" s="13"/>
      <x:c r="J531" s="13"/>
    </x:row>
    <x:row r="532">
      <x:c r="A532" s="51"/>
      <x:c r="B532" s="13"/>
      <x:c r="C532" s="13"/>
      <x:c r="D532" s="13"/>
      <x:c r="E532" s="13"/>
      <x:c r="F532" s="13"/>
      <x:c r="G532" s="13"/>
      <x:c r="H532" s="52"/>
      <x:c r="I532" s="13"/>
      <x:c r="J532" s="13"/>
    </x:row>
    <x:row r="533">
      <x:c r="A533" s="51"/>
      <x:c r="B533" s="13"/>
      <x:c r="C533" s="13"/>
      <x:c r="D533" s="13"/>
      <x:c r="E533" s="13"/>
      <x:c r="F533" s="13"/>
      <x:c r="G533" s="13"/>
      <x:c r="H533" s="52"/>
      <x:c r="I533" s="13"/>
      <x:c r="J533" s="13"/>
    </x:row>
    <x:row r="534">
      <x:c r="A534" s="51"/>
      <x:c r="B534" s="13"/>
      <x:c r="C534" s="13"/>
      <x:c r="D534" s="13"/>
      <x:c r="E534" s="13"/>
      <x:c r="F534" s="13"/>
      <x:c r="G534" s="13"/>
      <x:c r="H534" s="52"/>
      <x:c r="I534" s="13"/>
      <x:c r="J534" s="13"/>
    </x:row>
    <x:row r="535">
      <x:c r="A535" s="51"/>
      <x:c r="B535" s="13"/>
      <x:c r="C535" s="13"/>
      <x:c r="D535" s="13"/>
      <x:c r="E535" s="13"/>
      <x:c r="F535" s="13"/>
      <x:c r="G535" s="13"/>
      <x:c r="H535" s="52"/>
      <x:c r="I535" s="13"/>
      <x:c r="J535" s="13"/>
    </x:row>
    <x:row r="536">
      <x:c r="A536" s="51"/>
      <x:c r="B536" s="13"/>
      <x:c r="C536" s="13"/>
      <x:c r="D536" s="13"/>
      <x:c r="E536" s="13"/>
      <x:c r="F536" s="13"/>
      <x:c r="G536" s="13"/>
      <x:c r="H536" s="52"/>
      <x:c r="I536" s="13"/>
      <x:c r="J536" s="13"/>
    </x:row>
    <x:row r="537">
      <x:c r="A537" s="51"/>
      <x:c r="B537" s="13"/>
      <x:c r="C537" s="13"/>
      <x:c r="D537" s="13"/>
      <x:c r="E537" s="13"/>
      <x:c r="F537" s="13"/>
      <x:c r="G537" s="13"/>
      <x:c r="H537" s="52"/>
      <x:c r="I537" s="13"/>
      <x:c r="J537" s="13"/>
    </x:row>
    <x:row r="538">
      <x:c r="A538" s="51"/>
      <x:c r="B538" s="13"/>
      <x:c r="C538" s="13"/>
      <x:c r="D538" s="13"/>
      <x:c r="E538" s="13"/>
      <x:c r="F538" s="13"/>
      <x:c r="G538" s="13"/>
      <x:c r="H538" s="52"/>
      <x:c r="I538" s="13"/>
      <x:c r="J538" s="13"/>
    </x:row>
    <x:row r="539">
      <x:c r="A539" s="51"/>
      <x:c r="B539" s="13"/>
      <x:c r="C539" s="13"/>
      <x:c r="D539" s="13"/>
      <x:c r="E539" s="13"/>
      <x:c r="F539" s="13"/>
      <x:c r="G539" s="13"/>
      <x:c r="H539" s="52"/>
      <x:c r="I539" s="13"/>
      <x:c r="J539" s="13"/>
    </x:row>
    <x:row r="540">
      <x:c r="A540" s="51"/>
      <x:c r="B540" s="13"/>
      <x:c r="C540" s="13"/>
      <x:c r="D540" s="13"/>
      <x:c r="E540" s="13"/>
      <x:c r="F540" s="13"/>
      <x:c r="G540" s="13"/>
      <x:c r="H540" s="52"/>
      <x:c r="I540" s="13"/>
      <x:c r="J540" s="13"/>
    </x:row>
    <x:row r="541">
      <x:c r="A541" s="51"/>
      <x:c r="B541" s="13"/>
      <x:c r="C541" s="13"/>
      <x:c r="D541" s="13"/>
      <x:c r="E541" s="13"/>
      <x:c r="F541" s="13"/>
      <x:c r="G541" s="13"/>
      <x:c r="H541" s="52"/>
      <x:c r="I541" s="13"/>
      <x:c r="J541" s="13"/>
    </x:row>
    <x:row r="542">
      <x:c r="A542" s="51"/>
      <x:c r="B542" s="13"/>
      <x:c r="C542" s="13"/>
      <x:c r="D542" s="13"/>
      <x:c r="E542" s="13"/>
      <x:c r="F542" s="13"/>
      <x:c r="G542" s="13"/>
      <x:c r="H542" s="52"/>
      <x:c r="I542" s="13"/>
      <x:c r="J542" s="13"/>
    </x:row>
    <x:row r="543">
      <x:c r="A543" s="51"/>
      <x:c r="B543" s="13"/>
      <x:c r="C543" s="13"/>
      <x:c r="D543" s="13"/>
      <x:c r="E543" s="13"/>
      <x:c r="F543" s="13"/>
      <x:c r="G543" s="13"/>
      <x:c r="H543" s="52"/>
      <x:c r="I543" s="13"/>
      <x:c r="J543" s="13"/>
    </x:row>
    <x:row r="544">
      <x:c r="A544" s="51"/>
      <x:c r="B544" s="13"/>
      <x:c r="C544" s="13"/>
      <x:c r="D544" s="13"/>
      <x:c r="E544" s="13"/>
      <x:c r="F544" s="13"/>
      <x:c r="G544" s="13"/>
      <x:c r="H544" s="52"/>
      <x:c r="I544" s="13"/>
      <x:c r="J544" s="13"/>
    </x:row>
    <x:row r="545">
      <x:c r="A545" s="51"/>
      <x:c r="B545" s="13"/>
      <x:c r="C545" s="13"/>
      <x:c r="D545" s="13"/>
      <x:c r="E545" s="13"/>
      <x:c r="F545" s="13"/>
      <x:c r="G545" s="13"/>
      <x:c r="H545" s="52"/>
      <x:c r="I545" s="13"/>
      <x:c r="J545" s="13"/>
    </x:row>
    <x:row r="546">
      <x:c r="A546" s="51"/>
      <x:c r="B546" s="13"/>
      <x:c r="C546" s="13"/>
      <x:c r="D546" s="13"/>
      <x:c r="E546" s="13"/>
      <x:c r="F546" s="13"/>
      <x:c r="G546" s="13"/>
      <x:c r="H546" s="52"/>
      <x:c r="I546" s="13"/>
      <x:c r="J546" s="13"/>
    </x:row>
    <x:row r="547">
      <x:c r="A547" s="51"/>
      <x:c r="B547" s="13"/>
      <x:c r="C547" s="13"/>
      <x:c r="D547" s="13"/>
      <x:c r="E547" s="13"/>
      <x:c r="F547" s="13"/>
      <x:c r="G547" s="13"/>
      <x:c r="H547" s="52"/>
      <x:c r="I547" s="13"/>
      <x:c r="J547" s="13"/>
    </x:row>
    <x:row r="548">
      <x:c r="A548" s="51"/>
      <x:c r="B548" s="13"/>
      <x:c r="C548" s="13"/>
      <x:c r="D548" s="13"/>
      <x:c r="E548" s="13"/>
      <x:c r="F548" s="13"/>
      <x:c r="G548" s="13"/>
      <x:c r="H548" s="52"/>
      <x:c r="I548" s="13"/>
      <x:c r="J548" s="13"/>
    </x:row>
    <x:row r="549">
      <x:c r="A549" s="51"/>
      <x:c r="B549" s="13"/>
      <x:c r="C549" s="13"/>
      <x:c r="D549" s="13"/>
      <x:c r="E549" s="13"/>
      <x:c r="F549" s="13"/>
      <x:c r="G549" s="13"/>
      <x:c r="H549" s="52"/>
      <x:c r="I549" s="13"/>
      <x:c r="J549" s="13"/>
    </x:row>
    <x:row r="550">
      <x:c r="A550" s="51"/>
      <x:c r="B550" s="13"/>
      <x:c r="C550" s="13"/>
      <x:c r="D550" s="13"/>
      <x:c r="E550" s="13"/>
      <x:c r="F550" s="13"/>
      <x:c r="G550" s="13"/>
      <x:c r="H550" s="52"/>
      <x:c r="I550" s="13"/>
      <x:c r="J550" s="13"/>
    </x:row>
    <x:row r="551">
      <x:c r="A551" s="51"/>
      <x:c r="B551" s="13"/>
      <x:c r="C551" s="13"/>
      <x:c r="D551" s="13"/>
      <x:c r="E551" s="13"/>
      <x:c r="F551" s="13"/>
      <x:c r="G551" s="13"/>
      <x:c r="H551" s="52"/>
      <x:c r="I551" s="13"/>
      <x:c r="J551" s="13"/>
    </x:row>
    <x:row r="552">
      <x:c r="A552" s="51"/>
      <x:c r="B552" s="13"/>
      <x:c r="C552" s="13"/>
      <x:c r="D552" s="13"/>
      <x:c r="E552" s="13"/>
      <x:c r="F552" s="13"/>
      <x:c r="G552" s="13"/>
      <x:c r="H552" s="52"/>
      <x:c r="I552" s="13"/>
      <x:c r="J552" s="13"/>
    </x:row>
    <x:row r="553">
      <x:c r="A553" s="51"/>
      <x:c r="B553" s="13"/>
      <x:c r="C553" s="13"/>
      <x:c r="D553" s="13"/>
      <x:c r="E553" s="13"/>
      <x:c r="F553" s="13"/>
      <x:c r="G553" s="13"/>
      <x:c r="H553" s="52"/>
      <x:c r="I553" s="13"/>
      <x:c r="J553" s="13"/>
    </x:row>
    <x:row r="554">
      <x:c r="A554" s="51"/>
      <x:c r="B554" s="13"/>
      <x:c r="C554" s="13"/>
      <x:c r="D554" s="13"/>
      <x:c r="E554" s="13"/>
      <x:c r="F554" s="13"/>
      <x:c r="G554" s="13"/>
      <x:c r="H554" s="52"/>
      <x:c r="I554" s="13"/>
      <x:c r="J554" s="13"/>
    </x:row>
    <x:row r="555">
      <x:c r="A555" s="51"/>
      <x:c r="B555" s="13"/>
      <x:c r="C555" s="13"/>
      <x:c r="D555" s="13"/>
      <x:c r="E555" s="13"/>
      <x:c r="F555" s="13"/>
      <x:c r="G555" s="13"/>
      <x:c r="H555" s="52"/>
      <x:c r="I555" s="13"/>
      <x:c r="J555" s="13"/>
    </x:row>
    <x:row r="556">
      <x:c r="A556" s="51"/>
      <x:c r="B556" s="13"/>
      <x:c r="C556" s="13"/>
      <x:c r="D556" s="13"/>
      <x:c r="E556" s="13"/>
      <x:c r="F556" s="13"/>
      <x:c r="G556" s="13"/>
      <x:c r="H556" s="52"/>
      <x:c r="I556" s="13"/>
      <x:c r="J556" s="13"/>
    </x:row>
    <x:row r="557">
      <x:c r="A557" s="51"/>
      <x:c r="B557" s="13"/>
      <x:c r="C557" s="13"/>
      <x:c r="D557" s="13"/>
      <x:c r="E557" s="13"/>
      <x:c r="F557" s="13"/>
      <x:c r="G557" s="13"/>
      <x:c r="H557" s="52"/>
      <x:c r="I557" s="13"/>
      <x:c r="J557" s="13"/>
    </x:row>
    <x:row r="558">
      <x:c r="A558" s="51"/>
      <x:c r="B558" s="13"/>
      <x:c r="C558" s="13"/>
      <x:c r="D558" s="13"/>
      <x:c r="E558" s="13"/>
      <x:c r="F558" s="13"/>
      <x:c r="G558" s="13"/>
      <x:c r="H558" s="52"/>
      <x:c r="I558" s="13"/>
      <x:c r="J558" s="13"/>
    </x:row>
    <x:row r="559">
      <x:c r="A559" s="51"/>
      <x:c r="B559" s="13"/>
      <x:c r="C559" s="13"/>
      <x:c r="D559" s="13"/>
      <x:c r="E559" s="13"/>
      <x:c r="F559" s="13"/>
      <x:c r="G559" s="13"/>
      <x:c r="H559" s="52"/>
      <x:c r="I559" s="13"/>
      <x:c r="J559" s="13"/>
    </x:row>
    <x:row r="560">
      <x:c r="A560" s="51"/>
      <x:c r="B560" s="13"/>
      <x:c r="C560" s="13"/>
      <x:c r="D560" s="13"/>
      <x:c r="E560" s="13"/>
      <x:c r="F560" s="13"/>
      <x:c r="G560" s="13"/>
      <x:c r="H560" s="52"/>
      <x:c r="I560" s="13"/>
      <x:c r="J560" s="13"/>
    </x:row>
    <x:row r="561">
      <x:c r="A561" s="51"/>
      <x:c r="B561" s="13"/>
      <x:c r="C561" s="13"/>
      <x:c r="D561" s="13"/>
      <x:c r="E561" s="13"/>
      <x:c r="F561" s="13"/>
      <x:c r="G561" s="13"/>
      <x:c r="H561" s="52"/>
      <x:c r="I561" s="13"/>
      <x:c r="J561" s="13"/>
    </x:row>
    <x:row r="562">
      <x:c r="A562" s="51"/>
      <x:c r="B562" s="13"/>
      <x:c r="C562" s="13"/>
      <x:c r="D562" s="13"/>
      <x:c r="E562" s="13"/>
      <x:c r="F562" s="13"/>
      <x:c r="G562" s="13"/>
      <x:c r="H562" s="52"/>
      <x:c r="I562" s="13"/>
      <x:c r="J562" s="13"/>
    </x:row>
    <x:row r="563">
      <x:c r="A563" s="51"/>
      <x:c r="B563" s="13"/>
      <x:c r="C563" s="13"/>
      <x:c r="D563" s="13"/>
      <x:c r="E563" s="13"/>
      <x:c r="F563" s="13"/>
      <x:c r="G563" s="13"/>
      <x:c r="H563" s="52"/>
      <x:c r="I563" s="13"/>
      <x:c r="J563" s="13"/>
    </x:row>
    <x:row r="564">
      <x:c r="A564" s="51"/>
      <x:c r="B564" s="13"/>
      <x:c r="C564" s="13"/>
      <x:c r="D564" s="13"/>
      <x:c r="E564" s="13"/>
      <x:c r="F564" s="13"/>
      <x:c r="G564" s="13"/>
      <x:c r="H564" s="52"/>
      <x:c r="I564" s="13"/>
      <x:c r="J564" s="13"/>
    </x:row>
    <x:row r="565">
      <x:c r="A565" s="51"/>
      <x:c r="B565" s="13"/>
      <x:c r="C565" s="13"/>
      <x:c r="D565" s="13"/>
      <x:c r="E565" s="13"/>
      <x:c r="F565" s="13"/>
      <x:c r="G565" s="13"/>
      <x:c r="H565" s="52"/>
      <x:c r="I565" s="13"/>
      <x:c r="J565" s="13"/>
    </x:row>
    <x:row r="566">
      <x:c r="A566" s="51"/>
      <x:c r="B566" s="13"/>
      <x:c r="C566" s="13"/>
      <x:c r="D566" s="13"/>
      <x:c r="E566" s="13"/>
      <x:c r="F566" s="13"/>
      <x:c r="G566" s="13"/>
      <x:c r="H566" s="52"/>
      <x:c r="I566" s="13"/>
      <x:c r="J566" s="13"/>
    </x:row>
    <x:row r="567">
      <x:c r="A567" s="51"/>
      <x:c r="B567" s="13"/>
      <x:c r="C567" s="13"/>
      <x:c r="D567" s="13"/>
      <x:c r="E567" s="13"/>
      <x:c r="F567" s="13"/>
      <x:c r="G567" s="13"/>
      <x:c r="H567" s="52"/>
      <x:c r="I567" s="13"/>
      <x:c r="J567" s="13"/>
    </x:row>
    <x:row r="568">
      <x:c r="A568" s="51"/>
      <x:c r="B568" s="13"/>
      <x:c r="C568" s="13"/>
      <x:c r="D568" s="13"/>
      <x:c r="E568" s="13"/>
      <x:c r="F568" s="13"/>
      <x:c r="G568" s="13"/>
      <x:c r="H568" s="52"/>
      <x:c r="I568" s="13"/>
      <x:c r="J568" s="13"/>
    </x:row>
    <x:row r="569">
      <x:c r="A569" s="51"/>
      <x:c r="B569" s="13"/>
      <x:c r="C569" s="13"/>
      <x:c r="D569" s="13"/>
      <x:c r="E569" s="13"/>
      <x:c r="F569" s="13"/>
      <x:c r="G569" s="13"/>
      <x:c r="H569" s="52"/>
      <x:c r="I569" s="13"/>
      <x:c r="J569" s="13"/>
    </x:row>
    <x:row r="570">
      <x:c r="A570" s="51"/>
      <x:c r="B570" s="13"/>
      <x:c r="C570" s="13"/>
      <x:c r="D570" s="13"/>
      <x:c r="E570" s="13"/>
      <x:c r="F570" s="13"/>
      <x:c r="G570" s="13"/>
      <x:c r="H570" s="52"/>
      <x:c r="I570" s="13"/>
      <x:c r="J570" s="13"/>
    </x:row>
    <x:row r="571">
      <x:c r="A571" s="51"/>
      <x:c r="B571" s="13"/>
      <x:c r="C571" s="13"/>
      <x:c r="D571" s="13"/>
      <x:c r="E571" s="13"/>
      <x:c r="F571" s="13"/>
      <x:c r="G571" s="13"/>
      <x:c r="H571" s="52"/>
      <x:c r="I571" s="13"/>
      <x:c r="J571" s="13"/>
    </x:row>
    <x:row r="572">
      <x:c r="A572" s="51"/>
      <x:c r="B572" s="13"/>
      <x:c r="C572" s="13"/>
      <x:c r="D572" s="13"/>
      <x:c r="E572" s="13"/>
      <x:c r="F572" s="13"/>
      <x:c r="G572" s="13"/>
      <x:c r="H572" s="52"/>
      <x:c r="I572" s="13"/>
      <x:c r="J572" s="13"/>
    </x:row>
    <x:row r="573">
      <x:c r="A573" s="51"/>
      <x:c r="B573" s="13"/>
      <x:c r="C573" s="13"/>
      <x:c r="D573" s="13"/>
      <x:c r="E573" s="13"/>
      <x:c r="F573" s="13"/>
      <x:c r="G573" s="13"/>
      <x:c r="H573" s="52"/>
      <x:c r="I573" s="13"/>
      <x:c r="J573" s="13"/>
    </x:row>
    <x:row r="574">
      <x:c r="A574" s="51"/>
      <x:c r="B574" s="13"/>
      <x:c r="C574" s="13"/>
      <x:c r="D574" s="13"/>
      <x:c r="E574" s="13"/>
      <x:c r="F574" s="13"/>
      <x:c r="G574" s="13"/>
      <x:c r="H574" s="52"/>
      <x:c r="I574" s="13"/>
      <x:c r="J574" s="13"/>
    </x:row>
    <x:row r="575">
      <x:c r="A575" s="51"/>
      <x:c r="B575" s="13"/>
      <x:c r="C575" s="13"/>
      <x:c r="D575" s="13"/>
      <x:c r="E575" s="13"/>
      <x:c r="F575" s="13"/>
      <x:c r="G575" s="13"/>
      <x:c r="H575" s="52"/>
      <x:c r="I575" s="13"/>
      <x:c r="J575" s="13"/>
    </x:row>
    <x:row r="576">
      <x:c r="A576" s="51"/>
      <x:c r="B576" s="13"/>
      <x:c r="C576" s="13"/>
      <x:c r="D576" s="13"/>
      <x:c r="E576" s="13"/>
      <x:c r="F576" s="13"/>
      <x:c r="G576" s="13"/>
      <x:c r="H576" s="52"/>
      <x:c r="I576" s="13"/>
      <x:c r="J576" s="13"/>
    </x:row>
    <x:row r="577">
      <x:c r="A577" s="51"/>
      <x:c r="B577" s="13"/>
      <x:c r="C577" s="13"/>
      <x:c r="D577" s="13"/>
      <x:c r="E577" s="13"/>
      <x:c r="F577" s="13"/>
      <x:c r="G577" s="13"/>
      <x:c r="H577" s="52"/>
      <x:c r="I577" s="13"/>
      <x:c r="J577" s="13"/>
    </x:row>
    <x:row r="578">
      <x:c r="A578" s="51"/>
      <x:c r="B578" s="13"/>
      <x:c r="C578" s="13"/>
      <x:c r="D578" s="13"/>
      <x:c r="E578" s="13"/>
      <x:c r="F578" s="13"/>
      <x:c r="G578" s="13"/>
      <x:c r="H578" s="52"/>
      <x:c r="I578" s="13"/>
      <x:c r="J578" s="13"/>
    </x:row>
    <x:row r="579">
      <x:c r="A579" s="51"/>
      <x:c r="B579" s="13"/>
      <x:c r="C579" s="13"/>
      <x:c r="D579" s="13"/>
      <x:c r="E579" s="13"/>
      <x:c r="F579" s="13"/>
      <x:c r="G579" s="13"/>
      <x:c r="H579" s="52"/>
      <x:c r="I579" s="13"/>
      <x:c r="J579" s="13"/>
    </x:row>
    <x:row r="580">
      <x:c r="A580" s="51"/>
      <x:c r="B580" s="13"/>
      <x:c r="C580" s="13"/>
      <x:c r="D580" s="13"/>
      <x:c r="E580" s="13"/>
      <x:c r="F580" s="13"/>
      <x:c r="G580" s="13"/>
      <x:c r="H580" s="52"/>
      <x:c r="I580" s="13"/>
      <x:c r="J580" s="13"/>
    </x:row>
    <x:row r="581">
      <x:c r="A581" s="51"/>
      <x:c r="B581" s="13"/>
      <x:c r="C581" s="13"/>
      <x:c r="D581" s="13"/>
      <x:c r="E581" s="13"/>
      <x:c r="F581" s="13"/>
      <x:c r="G581" s="13"/>
      <x:c r="H581" s="52"/>
      <x:c r="I581" s="13"/>
      <x:c r="J581" s="13"/>
    </x:row>
    <x:row r="582">
      <x:c r="A582" s="51"/>
      <x:c r="B582" s="13"/>
      <x:c r="C582" s="13"/>
      <x:c r="D582" s="13"/>
      <x:c r="E582" s="13"/>
      <x:c r="F582" s="13"/>
      <x:c r="G582" s="13"/>
      <x:c r="H582" s="52"/>
      <x:c r="I582" s="13"/>
      <x:c r="J582" s="13"/>
    </x:row>
    <x:row r="583">
      <x:c r="A583" s="51"/>
      <x:c r="B583" s="13"/>
      <x:c r="C583" s="13"/>
      <x:c r="D583" s="13"/>
      <x:c r="E583" s="13"/>
      <x:c r="F583" s="13"/>
      <x:c r="G583" s="13"/>
      <x:c r="H583" s="52"/>
      <x:c r="I583" s="13"/>
      <x:c r="J583" s="13"/>
    </x:row>
    <x:row r="584">
      <x:c r="A584" s="51"/>
      <x:c r="B584" s="13"/>
      <x:c r="C584" s="13"/>
      <x:c r="D584" s="13"/>
      <x:c r="E584" s="13"/>
      <x:c r="F584" s="13"/>
      <x:c r="G584" s="13"/>
      <x:c r="H584" s="52"/>
      <x:c r="I584" s="13"/>
      <x:c r="J584" s="13"/>
    </x:row>
    <x:row r="585">
      <x:c r="A585" s="51"/>
      <x:c r="B585" s="13"/>
      <x:c r="C585" s="13"/>
      <x:c r="D585" s="13"/>
      <x:c r="E585" s="13"/>
      <x:c r="F585" s="13"/>
      <x:c r="G585" s="13"/>
      <x:c r="H585" s="52"/>
      <x:c r="I585" s="13"/>
      <x:c r="J585" s="13"/>
    </x:row>
    <x:row r="586">
      <x:c r="A586" s="51"/>
      <x:c r="B586" s="13"/>
      <x:c r="C586" s="13"/>
      <x:c r="D586" s="13"/>
      <x:c r="E586" s="13"/>
      <x:c r="F586" s="13"/>
      <x:c r="G586" s="13"/>
      <x:c r="H586" s="52"/>
      <x:c r="I586" s="13"/>
      <x:c r="J586" s="13"/>
    </x:row>
    <x:row r="587">
      <x:c r="A587" s="51"/>
      <x:c r="B587" s="13"/>
      <x:c r="C587" s="13"/>
      <x:c r="D587" s="13"/>
      <x:c r="E587" s="13"/>
      <x:c r="F587" s="13"/>
      <x:c r="G587" s="13"/>
      <x:c r="H587" s="52"/>
      <x:c r="I587" s="13"/>
      <x:c r="J587" s="13"/>
    </x:row>
    <x:row r="588">
      <x:c r="A588" s="51"/>
      <x:c r="B588" s="13"/>
      <x:c r="C588" s="13"/>
      <x:c r="D588" s="13"/>
      <x:c r="E588" s="13"/>
      <x:c r="F588" s="13"/>
      <x:c r="G588" s="13"/>
      <x:c r="H588" s="52"/>
      <x:c r="I588" s="13"/>
      <x:c r="J588" s="13"/>
    </x:row>
    <x:row r="589">
      <x:c r="A589" s="51"/>
      <x:c r="B589" s="13"/>
      <x:c r="C589" s="13"/>
      <x:c r="D589" s="13"/>
      <x:c r="E589" s="13"/>
      <x:c r="F589" s="13"/>
      <x:c r="G589" s="13"/>
      <x:c r="H589" s="52"/>
      <x:c r="I589" s="13"/>
      <x:c r="J589" s="13"/>
    </x:row>
    <x:row r="590">
      <x:c r="A590" s="51"/>
      <x:c r="B590" s="13"/>
      <x:c r="C590" s="13"/>
      <x:c r="D590" s="13"/>
      <x:c r="E590" s="13"/>
      <x:c r="F590" s="13"/>
      <x:c r="G590" s="13"/>
      <x:c r="H590" s="52"/>
      <x:c r="I590" s="13"/>
      <x:c r="J590" s="13"/>
    </x:row>
    <x:row r="591">
      <x:c r="A591" s="51"/>
      <x:c r="B591" s="13"/>
      <x:c r="C591" s="13"/>
      <x:c r="D591" s="13"/>
      <x:c r="E591" s="13"/>
      <x:c r="F591" s="13"/>
      <x:c r="G591" s="13"/>
      <x:c r="H591" s="52"/>
      <x:c r="I591" s="13"/>
      <x:c r="J591" s="13"/>
    </x:row>
    <x:row r="592">
      <x:c r="A592" s="51"/>
      <x:c r="B592" s="13"/>
      <x:c r="C592" s="13"/>
      <x:c r="D592" s="13"/>
      <x:c r="E592" s="13"/>
      <x:c r="F592" s="13"/>
      <x:c r="G592" s="13"/>
      <x:c r="H592" s="52"/>
      <x:c r="I592" s="13"/>
      <x:c r="J592" s="13"/>
    </x:row>
    <x:row r="593">
      <x:c r="A593" s="51"/>
      <x:c r="B593" s="13"/>
      <x:c r="C593" s="13"/>
      <x:c r="D593" s="13"/>
      <x:c r="E593" s="13"/>
      <x:c r="F593" s="13"/>
      <x:c r="G593" s="13"/>
      <x:c r="H593" s="52"/>
      <x:c r="I593" s="13"/>
      <x:c r="J593" s="13"/>
    </x:row>
    <x:row r="594">
      <x:c r="A594" s="51"/>
      <x:c r="B594" s="13"/>
      <x:c r="C594" s="13"/>
      <x:c r="D594" s="13"/>
      <x:c r="E594" s="13"/>
      <x:c r="F594" s="13"/>
      <x:c r="G594" s="13"/>
      <x:c r="H594" s="52"/>
      <x:c r="I594" s="13"/>
      <x:c r="J594" s="13"/>
    </x:row>
    <x:row r="595">
      <x:c r="A595" s="51"/>
      <x:c r="B595" s="13"/>
      <x:c r="C595" s="13"/>
      <x:c r="D595" s="13"/>
      <x:c r="E595" s="13"/>
      <x:c r="F595" s="13"/>
      <x:c r="G595" s="13"/>
      <x:c r="H595" s="52"/>
      <x:c r="I595" s="13"/>
      <x:c r="J595" s="13"/>
    </x:row>
    <x:row r="596">
      <x:c r="A596" s="51"/>
      <x:c r="B596" s="13"/>
      <x:c r="C596" s="13"/>
      <x:c r="D596" s="13"/>
      <x:c r="E596" s="13"/>
      <x:c r="F596" s="13"/>
      <x:c r="G596" s="13"/>
      <x:c r="H596" s="52"/>
      <x:c r="I596" s="13"/>
      <x:c r="J596" s="13"/>
    </x:row>
    <x:row r="597">
      <x:c r="A597" s="51"/>
      <x:c r="B597" s="13"/>
      <x:c r="C597" s="13"/>
      <x:c r="D597" s="13"/>
      <x:c r="E597" s="13"/>
      <x:c r="F597" s="13"/>
      <x:c r="G597" s="13"/>
      <x:c r="H597" s="52"/>
      <x:c r="I597" s="13"/>
      <x:c r="J597" s="13"/>
    </x:row>
    <x:row r="598">
      <x:c r="A598" s="51"/>
      <x:c r="B598" s="13"/>
      <x:c r="C598" s="13"/>
      <x:c r="D598" s="13"/>
      <x:c r="E598" s="13"/>
      <x:c r="F598" s="13"/>
      <x:c r="G598" s="13"/>
      <x:c r="H598" s="52"/>
      <x:c r="I598" s="13"/>
      <x:c r="J598" s="13"/>
    </x:row>
    <x:row r="599">
      <x:c r="A599" s="51"/>
      <x:c r="B599" s="13"/>
      <x:c r="C599" s="13"/>
      <x:c r="D599" s="13"/>
      <x:c r="E599" s="13"/>
      <x:c r="F599" s="13"/>
      <x:c r="G599" s="13"/>
      <x:c r="H599" s="52"/>
      <x:c r="I599" s="13"/>
      <x:c r="J599" s="13"/>
    </x:row>
    <x:row r="600">
      <x:c r="A600" s="51"/>
      <x:c r="B600" s="13"/>
      <x:c r="C600" s="13"/>
      <x:c r="D600" s="13"/>
      <x:c r="E600" s="13"/>
      <x:c r="F600" s="13"/>
      <x:c r="G600" s="13"/>
      <x:c r="H600" s="52"/>
      <x:c r="I600" s="13"/>
      <x:c r="J600" s="13"/>
    </x:row>
    <x:row r="601">
      <x:c r="A601" s="51"/>
      <x:c r="B601" s="13"/>
      <x:c r="C601" s="13"/>
      <x:c r="D601" s="13"/>
      <x:c r="E601" s="13"/>
      <x:c r="F601" s="13"/>
      <x:c r="G601" s="13"/>
      <x:c r="H601" s="52"/>
      <x:c r="I601" s="13"/>
      <x:c r="J601" s="13"/>
    </x:row>
    <x:row r="602">
      <x:c r="A602" s="51"/>
      <x:c r="B602" s="13"/>
      <x:c r="C602" s="13"/>
      <x:c r="D602" s="13"/>
      <x:c r="E602" s="13"/>
      <x:c r="F602" s="13"/>
      <x:c r="G602" s="13"/>
      <x:c r="H602" s="52"/>
      <x:c r="I602" s="13"/>
      <x:c r="J602" s="13"/>
    </x:row>
    <x:row r="603">
      <x:c r="A603" s="51"/>
      <x:c r="B603" s="13"/>
      <x:c r="C603" s="13"/>
      <x:c r="D603" s="13"/>
      <x:c r="E603" s="13"/>
      <x:c r="F603" s="13"/>
      <x:c r="G603" s="13"/>
      <x:c r="H603" s="52"/>
      <x:c r="I603" s="13"/>
      <x:c r="J603" s="13"/>
    </x:row>
    <x:row r="604">
      <x:c r="A604" s="51"/>
      <x:c r="B604" s="13"/>
      <x:c r="C604" s="13"/>
      <x:c r="D604" s="13"/>
      <x:c r="E604" s="13"/>
      <x:c r="F604" s="13"/>
      <x:c r="G604" s="13"/>
      <x:c r="H604" s="52"/>
      <x:c r="I604" s="13"/>
      <x:c r="J604" s="13"/>
    </x:row>
    <x:row r="605">
      <x:c r="A605" s="51"/>
      <x:c r="B605" s="13"/>
      <x:c r="C605" s="13"/>
      <x:c r="D605" s="13"/>
      <x:c r="E605" s="13"/>
      <x:c r="F605" s="13"/>
      <x:c r="G605" s="13"/>
      <x:c r="H605" s="52"/>
      <x:c r="I605" s="13"/>
      <x:c r="J605" s="13"/>
    </x:row>
    <x:row r="606">
      <x:c r="A606" s="51"/>
      <x:c r="B606" s="13"/>
      <x:c r="C606" s="13"/>
      <x:c r="D606" s="13"/>
      <x:c r="E606" s="13"/>
      <x:c r="F606" s="13"/>
      <x:c r="G606" s="13"/>
      <x:c r="H606" s="52"/>
      <x:c r="I606" s="13"/>
      <x:c r="J606" s="13"/>
    </x:row>
    <x:row r="607">
      <x:c r="A607" s="51"/>
      <x:c r="B607" s="13"/>
      <x:c r="C607" s="13"/>
      <x:c r="D607" s="13"/>
      <x:c r="E607" s="13"/>
      <x:c r="F607" s="13"/>
      <x:c r="G607" s="13"/>
      <x:c r="H607" s="52"/>
      <x:c r="I607" s="13"/>
      <x:c r="J607" s="13"/>
    </x:row>
    <x:row r="608">
      <x:c r="A608" s="51"/>
      <x:c r="B608" s="13"/>
      <x:c r="C608" s="13"/>
      <x:c r="D608" s="13"/>
      <x:c r="E608" s="13"/>
      <x:c r="F608" s="13"/>
      <x:c r="G608" s="13"/>
      <x:c r="H608" s="52"/>
      <x:c r="I608" s="13"/>
      <x:c r="J608" s="13"/>
    </x:row>
    <x:row r="609">
      <x:c r="A609" s="51"/>
      <x:c r="B609" s="13"/>
      <x:c r="C609" s="13"/>
      <x:c r="D609" s="13"/>
      <x:c r="E609" s="13"/>
      <x:c r="F609" s="13"/>
      <x:c r="G609" s="13"/>
      <x:c r="H609" s="52"/>
      <x:c r="I609" s="13"/>
      <x:c r="J609" s="13"/>
    </x:row>
    <x:row r="610">
      <x:c r="A610" s="51"/>
      <x:c r="B610" s="13"/>
      <x:c r="C610" s="13"/>
      <x:c r="D610" s="13"/>
      <x:c r="E610" s="13"/>
      <x:c r="F610" s="13"/>
      <x:c r="G610" s="13"/>
      <x:c r="H610" s="52"/>
      <x:c r="I610" s="13"/>
      <x:c r="J610" s="13"/>
    </x:row>
    <x:row r="611">
      <x:c r="A611" s="51"/>
      <x:c r="B611" s="13"/>
      <x:c r="C611" s="13"/>
      <x:c r="D611" s="13"/>
      <x:c r="E611" s="13"/>
      <x:c r="F611" s="13"/>
      <x:c r="G611" s="13"/>
      <x:c r="H611" s="52"/>
      <x:c r="I611" s="13"/>
      <x:c r="J611" s="13"/>
    </x:row>
    <x:row r="612">
      <x:c r="A612" s="51"/>
      <x:c r="B612" s="13"/>
      <x:c r="C612" s="13"/>
      <x:c r="D612" s="13"/>
      <x:c r="E612" s="13"/>
      <x:c r="F612" s="13"/>
      <x:c r="G612" s="13"/>
      <x:c r="H612" s="52"/>
      <x:c r="I612" s="13"/>
      <x:c r="J612" s="13"/>
    </x:row>
    <x:row r="613">
      <x:c r="A613" s="51"/>
      <x:c r="B613" s="13"/>
      <x:c r="C613" s="13"/>
      <x:c r="D613" s="13"/>
      <x:c r="E613" s="13"/>
      <x:c r="F613" s="13"/>
      <x:c r="G613" s="13"/>
      <x:c r="H613" s="52"/>
      <x:c r="I613" s="13"/>
      <x:c r="J613" s="13"/>
    </x:row>
    <x:row r="614">
      <x:c r="A614" s="51"/>
      <x:c r="B614" s="13"/>
      <x:c r="C614" s="13"/>
      <x:c r="D614" s="13"/>
      <x:c r="E614" s="13"/>
      <x:c r="F614" s="13"/>
      <x:c r="G614" s="13"/>
      <x:c r="H614" s="52"/>
      <x:c r="I614" s="13"/>
      <x:c r="J614" s="13"/>
    </x:row>
    <x:row r="615">
      <x:c r="A615" s="51"/>
      <x:c r="B615" s="13"/>
      <x:c r="C615" s="13"/>
      <x:c r="D615" s="13"/>
      <x:c r="E615" s="13"/>
      <x:c r="F615" s="13"/>
      <x:c r="G615" s="13"/>
      <x:c r="H615" s="52"/>
      <x:c r="I615" s="13"/>
      <x:c r="J615" s="13"/>
    </x:row>
    <x:row r="616">
      <x:c r="A616" s="51"/>
      <x:c r="B616" s="13"/>
      <x:c r="C616" s="13"/>
      <x:c r="D616" s="13"/>
      <x:c r="E616" s="13"/>
      <x:c r="F616" s="13"/>
      <x:c r="G616" s="13"/>
      <x:c r="H616" s="52"/>
      <x:c r="I616" s="13"/>
      <x:c r="J616" s="13"/>
    </x:row>
    <x:row r="617">
      <x:c r="A617" s="51"/>
      <x:c r="B617" s="13"/>
      <x:c r="C617" s="13"/>
      <x:c r="D617" s="13"/>
      <x:c r="E617" s="13"/>
      <x:c r="F617" s="13"/>
      <x:c r="G617" s="13"/>
      <x:c r="H617" s="52"/>
      <x:c r="I617" s="13"/>
      <x:c r="J617" s="13"/>
    </x:row>
    <x:row r="618">
      <x:c r="A618" s="51"/>
      <x:c r="B618" s="13"/>
      <x:c r="C618" s="13"/>
      <x:c r="D618" s="13"/>
      <x:c r="E618" s="13"/>
      <x:c r="F618" s="13"/>
      <x:c r="G618" s="13"/>
      <x:c r="H618" s="52"/>
      <x:c r="I618" s="13"/>
      <x:c r="J618" s="13"/>
    </x:row>
    <x:row r="619">
      <x:c r="A619" s="51"/>
      <x:c r="B619" s="13"/>
      <x:c r="C619" s="13"/>
      <x:c r="D619" s="13"/>
      <x:c r="E619" s="13"/>
      <x:c r="F619" s="13"/>
      <x:c r="G619" s="13"/>
      <x:c r="H619" s="52"/>
      <x:c r="I619" s="13"/>
      <x:c r="J619" s="13"/>
    </x:row>
    <x:row r="620">
      <x:c r="A620" s="51"/>
      <x:c r="B620" s="13"/>
      <x:c r="C620" s="13"/>
      <x:c r="D620" s="13"/>
      <x:c r="E620" s="13"/>
      <x:c r="F620" s="13"/>
      <x:c r="G620" s="13"/>
      <x:c r="H620" s="52"/>
      <x:c r="I620" s="13"/>
      <x:c r="J620" s="13"/>
    </x:row>
    <x:row r="621">
      <x:c r="A621" s="51"/>
      <x:c r="B621" s="13"/>
      <x:c r="C621" s="13"/>
      <x:c r="D621" s="13"/>
      <x:c r="E621" s="13"/>
      <x:c r="F621" s="13"/>
      <x:c r="G621" s="13"/>
      <x:c r="H621" s="52"/>
      <x:c r="I621" s="13"/>
      <x:c r="J621" s="13"/>
    </x:row>
    <x:row r="622">
      <x:c r="A622" s="51"/>
      <x:c r="B622" s="13"/>
      <x:c r="C622" s="13"/>
      <x:c r="D622" s="13"/>
      <x:c r="E622" s="13"/>
      <x:c r="F622" s="13"/>
      <x:c r="G622" s="13"/>
      <x:c r="H622" s="52"/>
      <x:c r="I622" s="13"/>
      <x:c r="J622" s="13"/>
    </x:row>
    <x:row r="623">
      <x:c r="A623" s="51"/>
      <x:c r="B623" s="13"/>
      <x:c r="C623" s="13"/>
      <x:c r="D623" s="13"/>
      <x:c r="E623" s="13"/>
      <x:c r="F623" s="13"/>
      <x:c r="G623" s="13"/>
      <x:c r="H623" s="52"/>
      <x:c r="I623" s="13"/>
      <x:c r="J623" s="13"/>
    </x:row>
    <x:row r="624">
      <x:c r="A624" s="51"/>
      <x:c r="B624" s="13"/>
      <x:c r="C624" s="13"/>
      <x:c r="D624" s="13"/>
      <x:c r="E624" s="13"/>
      <x:c r="F624" s="13"/>
      <x:c r="G624" s="13"/>
      <x:c r="H624" s="52"/>
      <x:c r="I624" s="13"/>
      <x:c r="J624" s="13"/>
    </x:row>
    <x:row r="625">
      <x:c r="A625" s="51"/>
      <x:c r="B625" s="13"/>
      <x:c r="C625" s="13"/>
      <x:c r="D625" s="13"/>
      <x:c r="E625" s="13"/>
      <x:c r="F625" s="13"/>
      <x:c r="G625" s="13"/>
      <x:c r="H625" s="52"/>
      <x:c r="I625" s="13"/>
      <x:c r="J625" s="13"/>
    </x:row>
    <x:row r="626">
      <x:c r="A626" s="51"/>
      <x:c r="B626" s="13"/>
      <x:c r="C626" s="13"/>
      <x:c r="D626" s="13"/>
      <x:c r="E626" s="13"/>
      <x:c r="F626" s="13"/>
      <x:c r="G626" s="13"/>
      <x:c r="H626" s="52"/>
      <x:c r="I626" s="13"/>
      <x:c r="J626" s="13"/>
    </x:row>
    <x:row r="627">
      <x:c r="A627" s="51"/>
      <x:c r="B627" s="13"/>
      <x:c r="C627" s="13"/>
      <x:c r="D627" s="13"/>
      <x:c r="E627" s="13"/>
      <x:c r="F627" s="13"/>
      <x:c r="G627" s="13"/>
      <x:c r="H627" s="52"/>
      <x:c r="I627" s="13"/>
      <x:c r="J627" s="13"/>
    </x:row>
    <x:row r="628">
      <x:c r="A628" s="51"/>
      <x:c r="B628" s="13"/>
      <x:c r="C628" s="13"/>
      <x:c r="D628" s="13"/>
      <x:c r="E628" s="13"/>
      <x:c r="F628" s="13"/>
      <x:c r="G628" s="13"/>
      <x:c r="H628" s="52"/>
      <x:c r="I628" s="13"/>
      <x:c r="J628" s="13"/>
    </x:row>
    <x:row r="629">
      <x:c r="A629" s="51"/>
      <x:c r="B629" s="13"/>
      <x:c r="C629" s="13"/>
      <x:c r="D629" s="13"/>
      <x:c r="E629" s="13"/>
      <x:c r="F629" s="13"/>
      <x:c r="G629" s="13"/>
      <x:c r="H629" s="52"/>
      <x:c r="I629" s="13"/>
      <x:c r="J629" s="13"/>
    </x:row>
    <x:row r="630">
      <x:c r="A630" s="51"/>
      <x:c r="B630" s="13"/>
      <x:c r="C630" s="13"/>
      <x:c r="D630" s="13"/>
      <x:c r="E630" s="13"/>
      <x:c r="F630" s="13"/>
      <x:c r="G630" s="13"/>
      <x:c r="H630" s="52"/>
      <x:c r="I630" s="13"/>
      <x:c r="J630" s="13"/>
    </x:row>
    <x:row r="631">
      <x:c r="A631" s="51"/>
      <x:c r="B631" s="13"/>
      <x:c r="C631" s="13"/>
      <x:c r="D631" s="13"/>
      <x:c r="E631" s="13"/>
      <x:c r="F631" s="13"/>
      <x:c r="G631" s="13"/>
      <x:c r="H631" s="52"/>
      <x:c r="I631" s="13"/>
      <x:c r="J631" s="13"/>
    </x:row>
    <x:row r="632">
      <x:c r="A632" s="51"/>
      <x:c r="B632" s="13"/>
      <x:c r="C632" s="13"/>
      <x:c r="D632" s="13"/>
      <x:c r="E632" s="13"/>
      <x:c r="F632" s="13"/>
      <x:c r="G632" s="13"/>
      <x:c r="H632" s="52"/>
      <x:c r="I632" s="13"/>
      <x:c r="J632" s="13"/>
    </x:row>
    <x:row r="633">
      <x:c r="A633" s="51"/>
      <x:c r="B633" s="13"/>
      <x:c r="C633" s="13"/>
      <x:c r="D633" s="13"/>
      <x:c r="E633" s="13"/>
      <x:c r="F633" s="13"/>
      <x:c r="G633" s="13"/>
      <x:c r="H633" s="52"/>
      <x:c r="I633" s="13"/>
      <x:c r="J633" s="13"/>
    </x:row>
    <x:row r="634">
      <x:c r="A634" s="51"/>
      <x:c r="B634" s="13"/>
      <x:c r="C634" s="13"/>
      <x:c r="D634" s="13"/>
      <x:c r="E634" s="13"/>
      <x:c r="F634" s="13"/>
      <x:c r="G634" s="13"/>
      <x:c r="H634" s="52"/>
      <x:c r="I634" s="13"/>
      <x:c r="J634" s="13"/>
    </x:row>
    <x:row r="635">
      <x:c r="A635" s="51"/>
      <x:c r="B635" s="13"/>
      <x:c r="C635" s="13"/>
      <x:c r="D635" s="13"/>
      <x:c r="E635" s="13"/>
      <x:c r="F635" s="13"/>
      <x:c r="G635" s="13"/>
      <x:c r="H635" s="52"/>
      <x:c r="I635" s="13"/>
      <x:c r="J635" s="13"/>
    </x:row>
    <x:row r="636">
      <x:c r="A636" s="51"/>
      <x:c r="B636" s="13"/>
      <x:c r="C636" s="13"/>
      <x:c r="D636" s="13"/>
      <x:c r="E636" s="13"/>
      <x:c r="F636" s="13"/>
      <x:c r="G636" s="13"/>
      <x:c r="H636" s="52"/>
      <x:c r="I636" s="13"/>
      <x:c r="J636" s="13"/>
    </x:row>
    <x:row r="637">
      <x:c r="A637" s="51"/>
      <x:c r="B637" s="13"/>
      <x:c r="C637" s="13"/>
      <x:c r="D637" s="13"/>
      <x:c r="E637" s="13"/>
      <x:c r="F637" s="13"/>
      <x:c r="G637" s="13"/>
      <x:c r="H637" s="52"/>
      <x:c r="I637" s="13"/>
      <x:c r="J637" s="13"/>
    </x:row>
    <x:row r="638">
      <x:c r="A638" s="51"/>
      <x:c r="B638" s="13"/>
      <x:c r="C638" s="13"/>
      <x:c r="D638" s="13"/>
      <x:c r="E638" s="13"/>
      <x:c r="F638" s="13"/>
      <x:c r="G638" s="13"/>
      <x:c r="H638" s="52"/>
      <x:c r="I638" s="13"/>
      <x:c r="J638" s="13"/>
    </x:row>
    <x:row r="639">
      <x:c r="A639" s="51"/>
      <x:c r="B639" s="13"/>
      <x:c r="C639" s="13"/>
      <x:c r="D639" s="13"/>
      <x:c r="E639" s="13"/>
      <x:c r="F639" s="13"/>
      <x:c r="G639" s="13"/>
      <x:c r="H639" s="52"/>
      <x:c r="I639" s="13"/>
      <x:c r="J639" s="13"/>
    </x:row>
    <x:row r="640">
      <x:c r="A640" s="51"/>
      <x:c r="B640" s="13"/>
      <x:c r="C640" s="13"/>
      <x:c r="D640" s="13"/>
      <x:c r="E640" s="13"/>
      <x:c r="F640" s="13"/>
      <x:c r="G640" s="13"/>
      <x:c r="H640" s="52"/>
      <x:c r="I640" s="13"/>
      <x:c r="J640" s="13"/>
    </x:row>
    <x:row r="641">
      <x:c r="A641" s="51"/>
      <x:c r="B641" s="13"/>
      <x:c r="C641" s="13"/>
      <x:c r="D641" s="13"/>
      <x:c r="E641" s="13"/>
      <x:c r="F641" s="13"/>
      <x:c r="G641" s="13"/>
      <x:c r="H641" s="52"/>
      <x:c r="I641" s="13"/>
      <x:c r="J641" s="13"/>
    </x:row>
    <x:row r="642">
      <x:c r="A642" s="51"/>
      <x:c r="B642" s="13"/>
      <x:c r="C642" s="13"/>
      <x:c r="D642" s="13"/>
      <x:c r="E642" s="13"/>
      <x:c r="F642" s="13"/>
      <x:c r="G642" s="13"/>
      <x:c r="H642" s="52"/>
      <x:c r="I642" s="13"/>
      <x:c r="J642" s="13"/>
    </x:row>
    <x:row r="643">
      <x:c r="A643" s="51"/>
      <x:c r="B643" s="13"/>
      <x:c r="C643" s="13"/>
      <x:c r="D643" s="13"/>
      <x:c r="E643" s="13"/>
      <x:c r="F643" s="13"/>
      <x:c r="G643" s="13"/>
      <x:c r="H643" s="52"/>
      <x:c r="I643" s="13"/>
      <x:c r="J643" s="13"/>
    </x:row>
    <x:row r="644">
      <x:c r="A644" s="51"/>
      <x:c r="B644" s="13"/>
      <x:c r="C644" s="13"/>
      <x:c r="D644" s="13"/>
      <x:c r="E644" s="13"/>
      <x:c r="F644" s="13"/>
      <x:c r="G644" s="13"/>
      <x:c r="H644" s="52"/>
      <x:c r="I644" s="13"/>
      <x:c r="J644" s="13"/>
    </x:row>
    <x:row r="645">
      <x:c r="A645" s="51"/>
      <x:c r="B645" s="13"/>
      <x:c r="C645" s="13"/>
      <x:c r="D645" s="13"/>
      <x:c r="E645" s="13"/>
      <x:c r="F645" s="13"/>
      <x:c r="G645" s="13"/>
      <x:c r="H645" s="52"/>
      <x:c r="I645" s="13"/>
      <x:c r="J645" s="13"/>
    </x:row>
    <x:row r="646">
      <x:c r="A646" s="51"/>
      <x:c r="B646" s="13"/>
      <x:c r="C646" s="13"/>
      <x:c r="D646" s="13"/>
      <x:c r="E646" s="13"/>
      <x:c r="F646" s="13"/>
      <x:c r="G646" s="13"/>
      <x:c r="H646" s="52"/>
      <x:c r="I646" s="13"/>
      <x:c r="J646" s="13"/>
    </x:row>
    <x:row r="647">
      <x:c r="A647" s="51"/>
      <x:c r="B647" s="13"/>
      <x:c r="C647" s="13"/>
      <x:c r="D647" s="13"/>
      <x:c r="E647" s="13"/>
      <x:c r="F647" s="13"/>
      <x:c r="G647" s="13"/>
      <x:c r="H647" s="52"/>
      <x:c r="I647" s="13"/>
      <x:c r="J647" s="13"/>
    </x:row>
    <x:row r="648">
      <x:c r="A648" s="51"/>
      <x:c r="B648" s="13"/>
      <x:c r="C648" s="13"/>
      <x:c r="D648" s="13"/>
      <x:c r="E648" s="13"/>
      <x:c r="F648" s="13"/>
      <x:c r="G648" s="13"/>
      <x:c r="H648" s="52"/>
      <x:c r="I648" s="13"/>
      <x:c r="J648" s="13"/>
    </x:row>
    <x:row r="649">
      <x:c r="A649" s="51"/>
      <x:c r="B649" s="13"/>
      <x:c r="C649" s="13"/>
      <x:c r="D649" s="13"/>
      <x:c r="E649" s="13"/>
      <x:c r="F649" s="13"/>
      <x:c r="G649" s="13"/>
      <x:c r="H649" s="52"/>
      <x:c r="I649" s="13"/>
      <x:c r="J649" s="13"/>
    </x:row>
    <x:row r="650">
      <x:c r="A650" s="51"/>
      <x:c r="B650" s="13"/>
      <x:c r="C650" s="13"/>
      <x:c r="D650" s="13"/>
      <x:c r="E650" s="13"/>
      <x:c r="F650" s="13"/>
      <x:c r="G650" s="13"/>
      <x:c r="H650" s="52"/>
      <x:c r="I650" s="13"/>
      <x:c r="J650" s="13"/>
    </x:row>
    <x:row r="651">
      <x:c r="A651" s="51"/>
      <x:c r="B651" s="13"/>
      <x:c r="C651" s="13"/>
      <x:c r="D651" s="13"/>
      <x:c r="E651" s="13"/>
      <x:c r="F651" s="13"/>
      <x:c r="G651" s="13"/>
      <x:c r="H651" s="52"/>
      <x:c r="I651" s="13"/>
      <x:c r="J651" s="13"/>
    </x:row>
    <x:row r="652">
      <x:c r="A652" s="51"/>
      <x:c r="B652" s="13"/>
      <x:c r="C652" s="13"/>
      <x:c r="D652" s="13"/>
      <x:c r="E652" s="13"/>
      <x:c r="F652" s="13"/>
      <x:c r="G652" s="13"/>
      <x:c r="H652" s="52"/>
      <x:c r="I652" s="13"/>
      <x:c r="J652" s="13"/>
    </x:row>
    <x:row r="653">
      <x:c r="A653" s="51"/>
      <x:c r="B653" s="13"/>
      <x:c r="C653" s="13"/>
      <x:c r="D653" s="13"/>
      <x:c r="E653" s="13"/>
      <x:c r="F653" s="13"/>
      <x:c r="G653" s="13"/>
      <x:c r="H653" s="52"/>
      <x:c r="I653" s="13"/>
      <x:c r="J653" s="13"/>
    </x:row>
    <x:row r="654">
      <x:c r="A654" s="51"/>
      <x:c r="B654" s="13"/>
      <x:c r="C654" s="13"/>
      <x:c r="D654" s="13"/>
      <x:c r="E654" s="13"/>
      <x:c r="F654" s="13"/>
      <x:c r="G654" s="13"/>
      <x:c r="H654" s="52"/>
      <x:c r="I654" s="13"/>
      <x:c r="J654" s="13"/>
    </x:row>
    <x:row r="655">
      <x:c r="A655" s="51"/>
      <x:c r="B655" s="13"/>
      <x:c r="C655" s="13"/>
      <x:c r="D655" s="13"/>
      <x:c r="E655" s="13"/>
      <x:c r="F655" s="13"/>
      <x:c r="G655" s="13"/>
      <x:c r="H655" s="52"/>
      <x:c r="I655" s="13"/>
      <x:c r="J655" s="13"/>
    </x:row>
    <x:row r="656">
      <x:c r="A656" s="51"/>
      <x:c r="B656" s="13"/>
      <x:c r="C656" s="13"/>
      <x:c r="D656" s="13"/>
      <x:c r="E656" s="13"/>
      <x:c r="F656" s="13"/>
      <x:c r="G656" s="13"/>
      <x:c r="H656" s="52"/>
      <x:c r="I656" s="13"/>
      <x:c r="J656" s="13"/>
    </x:row>
    <x:row r="657">
      <x:c r="A657" s="51"/>
      <x:c r="B657" s="13"/>
      <x:c r="C657" s="13"/>
      <x:c r="D657" s="13"/>
      <x:c r="E657" s="13"/>
      <x:c r="F657" s="13"/>
      <x:c r="G657" s="13"/>
      <x:c r="H657" s="52"/>
      <x:c r="I657" s="13"/>
      <x:c r="J657" s="13"/>
    </x:row>
    <x:row r="658">
      <x:c r="A658" s="51"/>
      <x:c r="B658" s="13"/>
      <x:c r="C658" s="13"/>
      <x:c r="D658" s="13"/>
      <x:c r="E658" s="13"/>
      <x:c r="F658" s="13"/>
      <x:c r="G658" s="13"/>
      <x:c r="H658" s="52"/>
      <x:c r="I658" s="13"/>
      <x:c r="J658" s="13"/>
    </x:row>
    <x:row r="659">
      <x:c r="A659" s="51"/>
      <x:c r="B659" s="13"/>
      <x:c r="C659" s="13"/>
      <x:c r="D659" s="13"/>
      <x:c r="E659" s="13"/>
      <x:c r="F659" s="13"/>
      <x:c r="G659" s="13"/>
      <x:c r="H659" s="52"/>
      <x:c r="I659" s="13"/>
      <x:c r="J659" s="13"/>
    </x:row>
    <x:row r="660">
      <x:c r="A660" s="51"/>
      <x:c r="B660" s="13"/>
      <x:c r="C660" s="13"/>
      <x:c r="D660" s="13"/>
      <x:c r="E660" s="13"/>
      <x:c r="F660" s="13"/>
      <x:c r="G660" s="13"/>
      <x:c r="H660" s="52"/>
      <x:c r="I660" s="13"/>
      <x:c r="J660" s="13"/>
    </x:row>
    <x:row r="661">
      <x:c r="A661" s="51"/>
      <x:c r="B661" s="13"/>
      <x:c r="C661" s="13"/>
      <x:c r="D661" s="13"/>
      <x:c r="E661" s="13"/>
      <x:c r="F661" s="13"/>
      <x:c r="G661" s="13"/>
      <x:c r="H661" s="52"/>
      <x:c r="I661" s="13"/>
      <x:c r="J661" s="13"/>
    </x:row>
    <x:row r="662">
      <x:c r="A662" s="51"/>
      <x:c r="B662" s="13"/>
      <x:c r="C662" s="13"/>
      <x:c r="D662" s="13"/>
      <x:c r="E662" s="13"/>
      <x:c r="F662" s="13"/>
      <x:c r="G662" s="13"/>
      <x:c r="H662" s="52"/>
      <x:c r="I662" s="13"/>
      <x:c r="J662" s="13"/>
    </x:row>
    <x:row r="663">
      <x:c r="A663" s="51"/>
      <x:c r="B663" s="13"/>
      <x:c r="C663" s="13"/>
      <x:c r="D663" s="13"/>
      <x:c r="E663" s="13"/>
      <x:c r="F663" s="13"/>
      <x:c r="G663" s="13"/>
      <x:c r="H663" s="52"/>
      <x:c r="I663" s="13"/>
      <x:c r="J663" s="13"/>
    </x:row>
    <x:row r="664">
      <x:c r="A664" s="51"/>
      <x:c r="B664" s="13"/>
      <x:c r="C664" s="13"/>
      <x:c r="D664" s="13"/>
      <x:c r="E664" s="13"/>
      <x:c r="F664" s="13"/>
      <x:c r="G664" s="13"/>
      <x:c r="H664" s="52"/>
      <x:c r="I664" s="13"/>
      <x:c r="J664" s="13"/>
    </x:row>
    <x:row r="665">
      <x:c r="A665" s="51"/>
      <x:c r="B665" s="13"/>
      <x:c r="C665" s="13"/>
      <x:c r="D665" s="13"/>
      <x:c r="E665" s="13"/>
      <x:c r="F665" s="13"/>
      <x:c r="G665" s="13"/>
      <x:c r="H665" s="52"/>
      <x:c r="I665" s="13"/>
      <x:c r="J665" s="13"/>
    </x:row>
    <x:row r="666">
      <x:c r="A666" s="51"/>
      <x:c r="B666" s="13"/>
      <x:c r="C666" s="13"/>
      <x:c r="D666" s="13"/>
      <x:c r="E666" s="13"/>
      <x:c r="F666" s="13"/>
      <x:c r="G666" s="13"/>
      <x:c r="H666" s="52"/>
      <x:c r="I666" s="13"/>
      <x:c r="J666" s="13"/>
    </x:row>
    <x:row r="667">
      <x:c r="A667" s="51"/>
      <x:c r="B667" s="13"/>
      <x:c r="C667" s="13"/>
      <x:c r="D667" s="13"/>
      <x:c r="E667" s="13"/>
      <x:c r="F667" s="13"/>
      <x:c r="G667" s="13"/>
      <x:c r="H667" s="52"/>
      <x:c r="I667" s="13"/>
      <x:c r="J667" s="13"/>
    </x:row>
    <x:row r="668">
      <x:c r="A668" s="51"/>
      <x:c r="B668" s="13"/>
      <x:c r="C668" s="13"/>
      <x:c r="D668" s="13"/>
      <x:c r="E668" s="13"/>
      <x:c r="F668" s="13"/>
      <x:c r="G668" s="13"/>
      <x:c r="H668" s="52"/>
      <x:c r="I668" s="13"/>
      <x:c r="J668" s="13"/>
    </x:row>
    <x:row r="669">
      <x:c r="A669" s="51"/>
      <x:c r="B669" s="13"/>
      <x:c r="C669" s="13"/>
      <x:c r="D669" s="13"/>
      <x:c r="E669" s="13"/>
      <x:c r="F669" s="13"/>
      <x:c r="G669" s="13"/>
      <x:c r="H669" s="52"/>
      <x:c r="I669" s="13"/>
      <x:c r="J669" s="13"/>
    </x:row>
    <x:row r="670">
      <x:c r="A670" s="51"/>
      <x:c r="B670" s="13"/>
      <x:c r="C670" s="13"/>
      <x:c r="D670" s="13"/>
      <x:c r="E670" s="13"/>
      <x:c r="F670" s="13"/>
      <x:c r="G670" s="13"/>
      <x:c r="H670" s="52"/>
      <x:c r="I670" s="13"/>
      <x:c r="J670" s="13"/>
    </x:row>
    <x:row r="671">
      <x:c r="A671" s="51"/>
      <x:c r="B671" s="13"/>
      <x:c r="C671" s="13"/>
      <x:c r="D671" s="13"/>
      <x:c r="E671" s="13"/>
      <x:c r="F671" s="13"/>
      <x:c r="G671" s="13"/>
      <x:c r="H671" s="52"/>
      <x:c r="I671" s="13"/>
      <x:c r="J671" s="13"/>
    </x:row>
    <x:row r="672">
      <x:c r="A672" s="51"/>
      <x:c r="B672" s="13"/>
      <x:c r="C672" s="13"/>
      <x:c r="D672" s="13"/>
      <x:c r="E672" s="13"/>
      <x:c r="F672" s="13"/>
      <x:c r="G672" s="13"/>
      <x:c r="H672" s="52"/>
      <x:c r="I672" s="13"/>
      <x:c r="J672" s="13"/>
    </x:row>
    <x:row r="673">
      <x:c r="A673" s="51"/>
      <x:c r="B673" s="13"/>
      <x:c r="C673" s="13"/>
      <x:c r="D673" s="13"/>
      <x:c r="E673" s="13"/>
      <x:c r="F673" s="13"/>
      <x:c r="G673" s="13"/>
      <x:c r="H673" s="52"/>
      <x:c r="I673" s="13"/>
      <x:c r="J673" s="13"/>
    </x:row>
    <x:row r="674">
      <x:c r="A674" s="51"/>
      <x:c r="B674" s="13"/>
      <x:c r="C674" s="13"/>
      <x:c r="D674" s="13"/>
      <x:c r="E674" s="13"/>
      <x:c r="F674" s="13"/>
      <x:c r="G674" s="13"/>
      <x:c r="H674" s="52"/>
      <x:c r="I674" s="13"/>
      <x:c r="J674" s="13"/>
    </x:row>
    <x:row r="675">
      <x:c r="A675" s="51"/>
      <x:c r="B675" s="13"/>
      <x:c r="C675" s="13"/>
      <x:c r="D675" s="13"/>
      <x:c r="E675" s="13"/>
      <x:c r="F675" s="13"/>
      <x:c r="G675" s="13"/>
      <x:c r="H675" s="52"/>
      <x:c r="I675" s="13"/>
      <x:c r="J675" s="13"/>
    </x:row>
    <x:row r="676">
      <x:c r="A676" s="51"/>
      <x:c r="B676" s="13"/>
      <x:c r="C676" s="13"/>
      <x:c r="D676" s="13"/>
      <x:c r="E676" s="13"/>
      <x:c r="F676" s="13"/>
      <x:c r="G676" s="13"/>
      <x:c r="H676" s="52"/>
      <x:c r="I676" s="13"/>
      <x:c r="J676" s="13"/>
    </x:row>
    <x:row r="677">
      <x:c r="A677" s="51"/>
      <x:c r="B677" s="13"/>
      <x:c r="C677" s="13"/>
      <x:c r="D677" s="13"/>
      <x:c r="E677" s="13"/>
      <x:c r="F677" s="13"/>
      <x:c r="G677" s="13"/>
      <x:c r="H677" s="52"/>
      <x:c r="I677" s="13"/>
      <x:c r="J677" s="13"/>
    </x:row>
    <x:row r="678">
      <x:c r="A678" s="51"/>
      <x:c r="B678" s="13"/>
      <x:c r="C678" s="13"/>
      <x:c r="D678" s="13"/>
      <x:c r="E678" s="13"/>
      <x:c r="F678" s="13"/>
      <x:c r="G678" s="13"/>
      <x:c r="H678" s="52"/>
      <x:c r="I678" s="13"/>
      <x:c r="J678" s="13"/>
    </x:row>
    <x:row r="679">
      <x:c r="A679" s="51"/>
      <x:c r="B679" s="13"/>
      <x:c r="C679" s="13"/>
      <x:c r="D679" s="13"/>
      <x:c r="E679" s="13"/>
      <x:c r="F679" s="13"/>
      <x:c r="G679" s="13"/>
      <x:c r="H679" s="52"/>
      <x:c r="I679" s="13"/>
      <x:c r="J679" s="13"/>
    </x:row>
    <x:row r="680">
      <x:c r="A680" s="51"/>
      <x:c r="B680" s="13"/>
      <x:c r="C680" s="13"/>
      <x:c r="D680" s="13"/>
      <x:c r="E680" s="13"/>
      <x:c r="F680" s="13"/>
      <x:c r="G680" s="13"/>
      <x:c r="H680" s="52"/>
      <x:c r="I680" s="13"/>
      <x:c r="J680" s="13"/>
    </x:row>
    <x:row r="681">
      <x:c r="A681" s="51"/>
      <x:c r="B681" s="13"/>
      <x:c r="C681" s="13"/>
      <x:c r="D681" s="13"/>
      <x:c r="E681" s="13"/>
      <x:c r="F681" s="13"/>
      <x:c r="G681" s="13"/>
      <x:c r="H681" s="52"/>
      <x:c r="I681" s="13"/>
      <x:c r="J681" s="13"/>
    </x:row>
    <x:row r="682">
      <x:c r="A682" s="51"/>
      <x:c r="B682" s="13"/>
      <x:c r="C682" s="13"/>
      <x:c r="D682" s="13"/>
      <x:c r="E682" s="13"/>
      <x:c r="F682" s="13"/>
      <x:c r="G682" s="13"/>
      <x:c r="H682" s="52"/>
      <x:c r="I682" s="13"/>
      <x:c r="J682" s="13"/>
    </x:row>
    <x:row r="683">
      <x:c r="A683" s="51"/>
      <x:c r="B683" s="13"/>
      <x:c r="C683" s="13"/>
      <x:c r="D683" s="13"/>
      <x:c r="E683" s="13"/>
      <x:c r="F683" s="13"/>
      <x:c r="G683" s="13"/>
      <x:c r="H683" s="52"/>
      <x:c r="I683" s="13"/>
      <x:c r="J683" s="13"/>
    </x:row>
    <x:row r="684">
      <x:c r="A684" s="51"/>
      <x:c r="B684" s="13"/>
      <x:c r="C684" s="13"/>
      <x:c r="D684" s="13"/>
      <x:c r="E684" s="13"/>
      <x:c r="F684" s="13"/>
      <x:c r="G684" s="13"/>
      <x:c r="H684" s="52"/>
      <x:c r="I684" s="13"/>
      <x:c r="J684" s="13"/>
    </x:row>
    <x:row r="685">
      <x:c r="A685" s="51"/>
      <x:c r="B685" s="13"/>
      <x:c r="C685" s="13"/>
      <x:c r="D685" s="13"/>
      <x:c r="E685" s="13"/>
      <x:c r="F685" s="13"/>
      <x:c r="G685" s="13"/>
      <x:c r="H685" s="52"/>
      <x:c r="I685" s="13"/>
      <x:c r="J685" s="13"/>
    </x:row>
    <x:row r="686">
      <x:c r="A686" s="51"/>
      <x:c r="B686" s="13"/>
      <x:c r="C686" s="13"/>
      <x:c r="D686" s="13"/>
      <x:c r="E686" s="13"/>
      <x:c r="F686" s="13"/>
      <x:c r="G686" s="13"/>
      <x:c r="H686" s="52"/>
      <x:c r="I686" s="13"/>
      <x:c r="J686" s="13"/>
    </x:row>
    <x:row r="687">
      <x:c r="A687" s="51"/>
      <x:c r="B687" s="13"/>
      <x:c r="C687" s="13"/>
      <x:c r="D687" s="13"/>
      <x:c r="E687" s="13"/>
      <x:c r="F687" s="13"/>
      <x:c r="G687" s="13"/>
      <x:c r="H687" s="52"/>
      <x:c r="I687" s="13"/>
      <x:c r="J687" s="13"/>
    </x:row>
    <x:row r="688">
      <x:c r="A688" s="51"/>
      <x:c r="B688" s="13"/>
      <x:c r="C688" s="13"/>
      <x:c r="D688" s="13"/>
      <x:c r="E688" s="13"/>
      <x:c r="F688" s="13"/>
      <x:c r="G688" s="13"/>
      <x:c r="H688" s="52"/>
      <x:c r="I688" s="13"/>
      <x:c r="J688" s="13"/>
    </x:row>
    <x:row r="689">
      <x:c r="A689" s="51"/>
      <x:c r="B689" s="13"/>
      <x:c r="C689" s="13"/>
      <x:c r="D689" s="13"/>
      <x:c r="E689" s="13"/>
      <x:c r="F689" s="13"/>
      <x:c r="G689" s="13"/>
      <x:c r="H689" s="52"/>
      <x:c r="I689" s="13"/>
      <x:c r="J689" s="13"/>
    </x:row>
    <x:row r="690">
      <x:c r="A690" s="51"/>
      <x:c r="B690" s="13"/>
      <x:c r="C690" s="13"/>
      <x:c r="D690" s="13"/>
      <x:c r="E690" s="13"/>
      <x:c r="F690" s="13"/>
      <x:c r="G690" s="13"/>
      <x:c r="H690" s="52"/>
      <x:c r="I690" s="13"/>
      <x:c r="J690" s="13"/>
    </x:row>
    <x:row r="691">
      <x:c r="A691" s="51"/>
      <x:c r="B691" s="13"/>
      <x:c r="C691" s="13"/>
      <x:c r="D691" s="13"/>
      <x:c r="E691" s="13"/>
      <x:c r="F691" s="13"/>
      <x:c r="G691" s="13"/>
      <x:c r="H691" s="52"/>
      <x:c r="I691" s="13"/>
      <x:c r="J691" s="13"/>
    </x:row>
    <x:row r="692">
      <x:c r="A692" s="51"/>
      <x:c r="B692" s="13"/>
      <x:c r="C692" s="13"/>
      <x:c r="D692" s="13"/>
      <x:c r="E692" s="13"/>
      <x:c r="F692" s="13"/>
      <x:c r="G692" s="13"/>
      <x:c r="H692" s="52"/>
      <x:c r="I692" s="13"/>
      <x:c r="J692" s="13"/>
    </x:row>
    <x:row r="693">
      <x:c r="A693" s="51"/>
      <x:c r="B693" s="13"/>
      <x:c r="C693" s="13"/>
      <x:c r="D693" s="13"/>
      <x:c r="E693" s="13"/>
      <x:c r="F693" s="13"/>
      <x:c r="G693" s="13"/>
      <x:c r="H693" s="52"/>
      <x:c r="I693" s="13"/>
      <x:c r="J693" s="13"/>
    </x:row>
    <x:row r="694">
      <x:c r="A694" s="51"/>
      <x:c r="B694" s="13"/>
      <x:c r="C694" s="13"/>
      <x:c r="D694" s="13"/>
      <x:c r="E694" s="13"/>
      <x:c r="F694" s="13"/>
      <x:c r="G694" s="13"/>
      <x:c r="H694" s="52"/>
      <x:c r="I694" s="13"/>
      <x:c r="J694" s="13"/>
    </x:row>
    <x:row r="695">
      <x:c r="A695" s="51"/>
      <x:c r="B695" s="13"/>
      <x:c r="C695" s="13"/>
      <x:c r="D695" s="13"/>
      <x:c r="E695" s="13"/>
      <x:c r="F695" s="13"/>
      <x:c r="G695" s="13"/>
      <x:c r="H695" s="52"/>
      <x:c r="I695" s="13"/>
      <x:c r="J695" s="13"/>
    </x:row>
    <x:row r="696">
      <x:c r="A696" s="51"/>
      <x:c r="B696" s="13"/>
      <x:c r="C696" s="13"/>
      <x:c r="D696" s="13"/>
      <x:c r="E696" s="13"/>
      <x:c r="F696" s="13"/>
      <x:c r="G696" s="13"/>
      <x:c r="H696" s="52"/>
      <x:c r="I696" s="13"/>
      <x:c r="J696" s="13"/>
    </x:row>
    <x:row r="697">
      <x:c r="A697" s="51"/>
      <x:c r="B697" s="13"/>
      <x:c r="C697" s="13"/>
      <x:c r="D697" s="13"/>
      <x:c r="E697" s="13"/>
      <x:c r="F697" s="13"/>
      <x:c r="G697" s="13"/>
      <x:c r="H697" s="52"/>
      <x:c r="I697" s="13"/>
      <x:c r="J697" s="13"/>
    </x:row>
    <x:row r="698">
      <x:c r="A698" s="51"/>
      <x:c r="B698" s="13"/>
      <x:c r="C698" s="13"/>
      <x:c r="D698" s="13"/>
      <x:c r="E698" s="13"/>
      <x:c r="F698" s="13"/>
      <x:c r="G698" s="13"/>
      <x:c r="H698" s="52"/>
      <x:c r="I698" s="13"/>
      <x:c r="J698" s="13"/>
    </x:row>
    <x:row r="699">
      <x:c r="A699" s="51"/>
      <x:c r="B699" s="13"/>
      <x:c r="C699" s="13"/>
      <x:c r="D699" s="13"/>
      <x:c r="E699" s="13"/>
      <x:c r="F699" s="13"/>
      <x:c r="G699" s="13"/>
      <x:c r="H699" s="52"/>
      <x:c r="I699" s="13"/>
      <x:c r="J699" s="13"/>
    </x:row>
    <x:row r="700">
      <x:c r="A700" s="51"/>
      <x:c r="B700" s="13"/>
      <x:c r="C700" s="13"/>
      <x:c r="D700" s="13"/>
      <x:c r="E700" s="13"/>
      <x:c r="F700" s="13"/>
      <x:c r="G700" s="13"/>
      <x:c r="H700" s="52"/>
      <x:c r="I700" s="13"/>
      <x:c r="J700" s="13"/>
    </x:row>
    <x:row r="701">
      <x:c r="A701" s="51"/>
      <x:c r="B701" s="13"/>
      <x:c r="C701" s="13"/>
      <x:c r="D701" s="13"/>
      <x:c r="E701" s="13"/>
      <x:c r="F701" s="13"/>
      <x:c r="G701" s="13"/>
      <x:c r="H701" s="52"/>
      <x:c r="I701" s="13"/>
      <x:c r="J701" s="13"/>
    </x:row>
    <x:row r="702">
      <x:c r="A702" s="51"/>
      <x:c r="B702" s="13"/>
      <x:c r="C702" s="13"/>
      <x:c r="D702" s="13"/>
      <x:c r="E702" s="13"/>
      <x:c r="F702" s="13"/>
      <x:c r="G702" s="13"/>
      <x:c r="H702" s="52"/>
      <x:c r="I702" s="13"/>
      <x:c r="J702" s="13"/>
    </x:row>
    <x:row r="703">
      <x:c r="A703" s="51"/>
      <x:c r="B703" s="13"/>
      <x:c r="C703" s="13"/>
      <x:c r="D703" s="13"/>
      <x:c r="E703" s="13"/>
      <x:c r="F703" s="13"/>
      <x:c r="G703" s="13"/>
      <x:c r="H703" s="52"/>
      <x:c r="I703" s="13"/>
      <x:c r="J703" s="13"/>
    </x:row>
    <x:row r="704">
      <x:c r="A704" s="51"/>
      <x:c r="B704" s="13"/>
      <x:c r="C704" s="13"/>
      <x:c r="D704" s="13"/>
      <x:c r="E704" s="13"/>
      <x:c r="F704" s="13"/>
      <x:c r="G704" s="13"/>
      <x:c r="H704" s="52"/>
      <x:c r="I704" s="13"/>
      <x:c r="J704" s="13"/>
    </x:row>
    <x:row r="705">
      <x:c r="A705" s="51"/>
      <x:c r="B705" s="13"/>
      <x:c r="C705" s="13"/>
      <x:c r="D705" s="13"/>
      <x:c r="E705" s="13"/>
      <x:c r="F705" s="13"/>
      <x:c r="G705" s="13"/>
      <x:c r="H705" s="52"/>
      <x:c r="I705" s="13"/>
      <x:c r="J705" s="13"/>
    </x:row>
    <x:row r="706">
      <x:c r="A706" s="51"/>
      <x:c r="B706" s="13"/>
      <x:c r="C706" s="13"/>
      <x:c r="D706" s="13"/>
      <x:c r="E706" s="13"/>
      <x:c r="F706" s="13"/>
      <x:c r="G706" s="13"/>
      <x:c r="H706" s="52"/>
      <x:c r="I706" s="13"/>
      <x:c r="J706" s="13"/>
    </x:row>
    <x:row r="707">
      <x:c r="A707" s="51"/>
      <x:c r="B707" s="13"/>
      <x:c r="C707" s="13"/>
      <x:c r="D707" s="13"/>
      <x:c r="E707" s="13"/>
      <x:c r="F707" s="13"/>
      <x:c r="G707" s="13"/>
      <x:c r="H707" s="52"/>
      <x:c r="I707" s="13"/>
      <x:c r="J707" s="13"/>
    </x:row>
    <x:row r="708">
      <x:c r="A708" s="51"/>
      <x:c r="B708" s="13"/>
      <x:c r="C708" s="13"/>
      <x:c r="D708" s="13"/>
      <x:c r="E708" s="13"/>
      <x:c r="F708" s="13"/>
      <x:c r="G708" s="13"/>
      <x:c r="H708" s="52"/>
      <x:c r="I708" s="13"/>
      <x:c r="J708" s="13"/>
    </x:row>
    <x:row r="709">
      <x:c r="A709" s="51"/>
      <x:c r="B709" s="13"/>
      <x:c r="C709" s="13"/>
      <x:c r="D709" s="13"/>
      <x:c r="E709" s="13"/>
      <x:c r="F709" s="13"/>
      <x:c r="G709" s="13"/>
      <x:c r="H709" s="52"/>
      <x:c r="I709" s="13"/>
      <x:c r="J709" s="13"/>
    </x:row>
    <x:row r="710">
      <x:c r="A710" s="51"/>
      <x:c r="B710" s="13"/>
      <x:c r="C710" s="13"/>
      <x:c r="D710" s="13"/>
      <x:c r="E710" s="13"/>
      <x:c r="F710" s="13"/>
      <x:c r="G710" s="13"/>
      <x:c r="H710" s="52"/>
      <x:c r="I710" s="13"/>
      <x:c r="J710" s="13"/>
    </x:row>
    <x:row r="711">
      <x:c r="A711" s="51"/>
      <x:c r="B711" s="13"/>
      <x:c r="C711" s="13"/>
      <x:c r="D711" s="13"/>
      <x:c r="E711" s="13"/>
      <x:c r="F711" s="13"/>
      <x:c r="G711" s="13"/>
      <x:c r="H711" s="52"/>
      <x:c r="I711" s="13"/>
      <x:c r="J711" s="13"/>
    </x:row>
    <x:row r="712">
      <x:c r="A712" s="51"/>
      <x:c r="B712" s="13"/>
      <x:c r="C712" s="13"/>
      <x:c r="D712" s="13"/>
      <x:c r="E712" s="13"/>
      <x:c r="F712" s="13"/>
      <x:c r="G712" s="13"/>
      <x:c r="H712" s="52"/>
      <x:c r="I712" s="13"/>
      <x:c r="J712" s="13"/>
    </x:row>
    <x:row r="713">
      <x:c r="A713" s="51"/>
      <x:c r="B713" s="13"/>
      <x:c r="C713" s="13"/>
      <x:c r="D713" s="13"/>
      <x:c r="E713" s="13"/>
      <x:c r="F713" s="13"/>
      <x:c r="G713" s="13"/>
      <x:c r="H713" s="52"/>
      <x:c r="I713" s="13"/>
      <x:c r="J713" s="13"/>
    </x:row>
    <x:row r="714">
      <x:c r="A714" s="51"/>
      <x:c r="B714" s="13"/>
      <x:c r="C714" s="13"/>
      <x:c r="D714" s="13"/>
      <x:c r="E714" s="13"/>
      <x:c r="F714" s="13"/>
      <x:c r="G714" s="13"/>
      <x:c r="H714" s="52"/>
      <x:c r="I714" s="13"/>
      <x:c r="J714" s="13"/>
    </x:row>
    <x:row r="715">
      <x:c r="A715" s="51"/>
      <x:c r="B715" s="13"/>
      <x:c r="C715" s="13"/>
      <x:c r="D715" s="13"/>
      <x:c r="E715" s="13"/>
      <x:c r="F715" s="13"/>
      <x:c r="G715" s="13"/>
      <x:c r="H715" s="52"/>
      <x:c r="I715" s="13"/>
      <x:c r="J715" s="13"/>
    </x:row>
    <x:row r="716">
      <x:c r="A716" s="51"/>
      <x:c r="B716" s="13"/>
      <x:c r="C716" s="13"/>
      <x:c r="D716" s="13"/>
      <x:c r="E716" s="13"/>
      <x:c r="F716" s="13"/>
      <x:c r="G716" s="13"/>
      <x:c r="H716" s="52"/>
      <x:c r="I716" s="13"/>
      <x:c r="J716" s="13"/>
    </x:row>
    <x:row r="717">
      <x:c r="A717" s="51"/>
      <x:c r="B717" s="13"/>
      <x:c r="C717" s="13"/>
      <x:c r="D717" s="13"/>
      <x:c r="E717" s="13"/>
      <x:c r="F717" s="13"/>
      <x:c r="G717" s="13"/>
      <x:c r="H717" s="52"/>
      <x:c r="I717" s="13"/>
      <x:c r="J717" s="13"/>
    </x:row>
    <x:row r="718">
      <x:c r="A718" s="51"/>
      <x:c r="B718" s="13"/>
      <x:c r="C718" s="13"/>
      <x:c r="D718" s="13"/>
      <x:c r="E718" s="13"/>
      <x:c r="F718" s="13"/>
      <x:c r="G718" s="13"/>
      <x:c r="H718" s="52"/>
      <x:c r="I718" s="13"/>
      <x:c r="J718" s="13"/>
    </x:row>
    <x:row r="719">
      <x:c r="A719" s="51"/>
      <x:c r="B719" s="13"/>
      <x:c r="C719" s="13"/>
      <x:c r="D719" s="13"/>
      <x:c r="E719" s="13"/>
      <x:c r="F719" s="13"/>
      <x:c r="G719" s="13"/>
      <x:c r="H719" s="52"/>
      <x:c r="I719" s="13"/>
      <x:c r="J719" s="13"/>
    </x:row>
    <x:row r="720">
      <x:c r="A720" s="51"/>
      <x:c r="B720" s="13"/>
      <x:c r="C720" s="13"/>
      <x:c r="D720" s="13"/>
      <x:c r="E720" s="13"/>
      <x:c r="F720" s="13"/>
      <x:c r="G720" s="13"/>
      <x:c r="H720" s="52"/>
      <x:c r="I720" s="13"/>
      <x:c r="J720" s="13"/>
    </x:row>
    <x:row r="721">
      <x:c r="A721" s="51"/>
      <x:c r="B721" s="13"/>
      <x:c r="C721" s="13"/>
      <x:c r="D721" s="13"/>
      <x:c r="E721" s="13"/>
      <x:c r="F721" s="13"/>
      <x:c r="G721" s="13"/>
      <x:c r="H721" s="52"/>
      <x:c r="I721" s="13"/>
      <x:c r="J721" s="13"/>
    </x:row>
    <x:row r="722">
      <x:c r="A722" s="51"/>
      <x:c r="B722" s="13"/>
      <x:c r="C722" s="13"/>
      <x:c r="D722" s="13"/>
      <x:c r="E722" s="13"/>
      <x:c r="F722" s="13"/>
      <x:c r="G722" s="13"/>
      <x:c r="H722" s="52"/>
      <x:c r="I722" s="13"/>
      <x:c r="J722" s="13"/>
    </x:row>
    <x:row r="723">
      <x:c r="A723" s="51"/>
      <x:c r="B723" s="13"/>
      <x:c r="C723" s="13"/>
      <x:c r="D723" s="13"/>
      <x:c r="E723" s="13"/>
      <x:c r="F723" s="13"/>
      <x:c r="G723" s="13"/>
      <x:c r="H723" s="52"/>
      <x:c r="I723" s="13"/>
      <x:c r="J723" s="13"/>
    </x:row>
    <x:row r="724">
      <x:c r="A724" s="51"/>
      <x:c r="B724" s="13"/>
      <x:c r="C724" s="13"/>
      <x:c r="D724" s="13"/>
      <x:c r="E724" s="13"/>
      <x:c r="F724" s="13"/>
      <x:c r="G724" s="13"/>
      <x:c r="H724" s="52"/>
      <x:c r="I724" s="13"/>
      <x:c r="J724" s="13"/>
    </x:row>
    <x:row r="725">
      <x:c r="A725" s="51"/>
      <x:c r="B725" s="13"/>
      <x:c r="C725" s="13"/>
      <x:c r="D725" s="13"/>
      <x:c r="E725" s="13"/>
      <x:c r="F725" s="13"/>
      <x:c r="G725" s="13"/>
      <x:c r="H725" s="52"/>
      <x:c r="I725" s="13"/>
      <x:c r="J725" s="13"/>
    </x:row>
    <x:row r="726">
      <x:c r="A726" s="51"/>
      <x:c r="B726" s="13"/>
      <x:c r="C726" s="13"/>
      <x:c r="D726" s="13"/>
      <x:c r="E726" s="13"/>
      <x:c r="F726" s="13"/>
      <x:c r="G726" s="13"/>
      <x:c r="H726" s="52"/>
      <x:c r="I726" s="13"/>
      <x:c r="J726" s="13"/>
    </x:row>
    <x:row r="727">
      <x:c r="A727" s="51"/>
      <x:c r="B727" s="13"/>
      <x:c r="C727" s="13"/>
      <x:c r="D727" s="13"/>
      <x:c r="E727" s="13"/>
      <x:c r="F727" s="13"/>
      <x:c r="G727" s="13"/>
      <x:c r="H727" s="52"/>
      <x:c r="I727" s="13"/>
      <x:c r="J727" s="13"/>
    </x:row>
    <x:row r="728">
      <x:c r="A728" s="51"/>
      <x:c r="B728" s="13"/>
      <x:c r="C728" s="13"/>
      <x:c r="D728" s="13"/>
      <x:c r="E728" s="13"/>
      <x:c r="F728" s="13"/>
      <x:c r="G728" s="13"/>
      <x:c r="H728" s="52"/>
      <x:c r="I728" s="13"/>
      <x:c r="J728" s="13"/>
    </x:row>
    <x:row r="729">
      <x:c r="A729" s="51"/>
      <x:c r="B729" s="13"/>
      <x:c r="C729" s="13"/>
      <x:c r="D729" s="13"/>
      <x:c r="E729" s="13"/>
      <x:c r="F729" s="13"/>
      <x:c r="G729" s="13"/>
      <x:c r="H729" s="52"/>
      <x:c r="I729" s="13"/>
      <x:c r="J729" s="13"/>
    </x:row>
    <x:row r="730">
      <x:c r="A730" s="51"/>
      <x:c r="B730" s="13"/>
      <x:c r="C730" s="13"/>
      <x:c r="D730" s="13"/>
      <x:c r="E730" s="13"/>
      <x:c r="F730" s="13"/>
      <x:c r="G730" s="13"/>
      <x:c r="H730" s="52"/>
      <x:c r="I730" s="13"/>
      <x:c r="J730" s="13"/>
    </x:row>
    <x:row r="731">
      <x:c r="A731" s="51"/>
      <x:c r="B731" s="13"/>
      <x:c r="C731" s="13"/>
      <x:c r="D731" s="13"/>
      <x:c r="E731" s="13"/>
      <x:c r="F731" s="13"/>
      <x:c r="G731" s="13"/>
      <x:c r="H731" s="52"/>
      <x:c r="I731" s="13"/>
      <x:c r="J731" s="13"/>
    </x:row>
    <x:row r="732">
      <x:c r="A732" s="51"/>
      <x:c r="B732" s="13"/>
      <x:c r="C732" s="13"/>
      <x:c r="D732" s="13"/>
      <x:c r="E732" s="13"/>
      <x:c r="F732" s="13"/>
      <x:c r="G732" s="13"/>
      <x:c r="H732" s="52"/>
      <x:c r="I732" s="13"/>
      <x:c r="J732" s="13"/>
    </x:row>
    <x:row r="733">
      <x:c r="A733" s="51"/>
      <x:c r="B733" s="13"/>
      <x:c r="C733" s="13"/>
      <x:c r="D733" s="13"/>
      <x:c r="E733" s="13"/>
      <x:c r="F733" s="13"/>
      <x:c r="G733" s="13"/>
      <x:c r="H733" s="52"/>
      <x:c r="I733" s="13"/>
      <x:c r="J733" s="13"/>
    </x:row>
    <x:row r="734">
      <x:c r="A734" s="51"/>
      <x:c r="B734" s="13"/>
      <x:c r="C734" s="13"/>
      <x:c r="D734" s="13"/>
      <x:c r="E734" s="13"/>
      <x:c r="F734" s="13"/>
      <x:c r="G734" s="13"/>
      <x:c r="H734" s="52"/>
      <x:c r="I734" s="13"/>
      <x:c r="J734" s="13"/>
    </x:row>
    <x:row r="735">
      <x:c r="A735" s="51"/>
      <x:c r="B735" s="13"/>
      <x:c r="C735" s="13"/>
      <x:c r="D735" s="13"/>
      <x:c r="E735" s="13"/>
      <x:c r="F735" s="13"/>
      <x:c r="G735" s="13"/>
      <x:c r="H735" s="52"/>
      <x:c r="I735" s="13"/>
      <x:c r="J735" s="13"/>
    </x:row>
    <x:row r="736">
      <x:c r="A736" s="51"/>
      <x:c r="B736" s="13"/>
      <x:c r="C736" s="13"/>
      <x:c r="D736" s="13"/>
      <x:c r="E736" s="13"/>
      <x:c r="F736" s="13"/>
      <x:c r="G736" s="13"/>
      <x:c r="H736" s="52"/>
      <x:c r="I736" s="13"/>
      <x:c r="J736" s="13"/>
    </x:row>
    <x:row r="737">
      <x:c r="A737" s="51"/>
      <x:c r="B737" s="13"/>
      <x:c r="C737" s="13"/>
      <x:c r="D737" s="13"/>
      <x:c r="E737" s="13"/>
      <x:c r="F737" s="13"/>
      <x:c r="G737" s="13"/>
      <x:c r="H737" s="52"/>
      <x:c r="I737" s="13"/>
      <x:c r="J737" s="13"/>
    </x:row>
    <x:row r="738">
      <x:c r="A738" s="51"/>
      <x:c r="B738" s="13"/>
      <x:c r="C738" s="13"/>
      <x:c r="D738" s="13"/>
      <x:c r="E738" s="13"/>
      <x:c r="F738" s="13"/>
      <x:c r="G738" s="13"/>
      <x:c r="H738" s="52"/>
      <x:c r="I738" s="13"/>
      <x:c r="J738" s="13"/>
    </x:row>
    <x:row r="739">
      <x:c r="A739" s="51"/>
      <x:c r="B739" s="13"/>
      <x:c r="C739" s="13"/>
      <x:c r="D739" s="13"/>
      <x:c r="E739" s="13"/>
      <x:c r="F739" s="13"/>
      <x:c r="G739" s="13"/>
      <x:c r="H739" s="52"/>
      <x:c r="I739" s="13"/>
      <x:c r="J739" s="13"/>
    </x:row>
    <x:row r="740">
      <x:c r="A740" s="51"/>
      <x:c r="B740" s="13"/>
      <x:c r="C740" s="13"/>
      <x:c r="D740" s="13"/>
      <x:c r="E740" s="13"/>
      <x:c r="F740" s="13"/>
      <x:c r="G740" s="13"/>
      <x:c r="H740" s="52"/>
      <x:c r="I740" s="13"/>
      <x:c r="J740" s="13"/>
    </x:row>
    <x:row r="741">
      <x:c r="A741" s="51"/>
      <x:c r="B741" s="13"/>
      <x:c r="C741" s="13"/>
      <x:c r="D741" s="13"/>
      <x:c r="E741" s="13"/>
      <x:c r="F741" s="13"/>
      <x:c r="G741" s="13"/>
      <x:c r="H741" s="52"/>
      <x:c r="I741" s="13"/>
      <x:c r="J741" s="13"/>
    </x:row>
    <x:row r="742">
      <x:c r="A742" s="51"/>
      <x:c r="B742" s="13"/>
      <x:c r="C742" s="13"/>
      <x:c r="D742" s="13"/>
      <x:c r="E742" s="13"/>
      <x:c r="F742" s="13"/>
      <x:c r="G742" s="13"/>
      <x:c r="H742" s="52"/>
      <x:c r="I742" s="13"/>
      <x:c r="J742" s="13"/>
    </x:row>
    <x:row r="743">
      <x:c r="A743" s="51"/>
      <x:c r="B743" s="13"/>
      <x:c r="C743" s="13"/>
      <x:c r="D743" s="13"/>
      <x:c r="E743" s="13"/>
      <x:c r="F743" s="13"/>
      <x:c r="G743" s="13"/>
      <x:c r="H743" s="52"/>
      <x:c r="I743" s="13"/>
      <x:c r="J743" s="13"/>
    </x:row>
    <x:row r="744">
      <x:c r="A744" s="51"/>
      <x:c r="B744" s="13"/>
      <x:c r="C744" s="13"/>
      <x:c r="D744" s="13"/>
      <x:c r="E744" s="13"/>
      <x:c r="F744" s="13"/>
      <x:c r="G744" s="13"/>
      <x:c r="H744" s="52"/>
      <x:c r="I744" s="13"/>
      <x:c r="J744" s="13"/>
    </x:row>
    <x:row r="745">
      <x:c r="A745" s="51"/>
      <x:c r="B745" s="13"/>
      <x:c r="C745" s="13"/>
      <x:c r="D745" s="13"/>
      <x:c r="E745" s="13"/>
      <x:c r="F745" s="13"/>
      <x:c r="G745" s="13"/>
      <x:c r="H745" s="52"/>
      <x:c r="I745" s="13"/>
      <x:c r="J745" s="13"/>
    </x:row>
    <x:row r="746">
      <x:c r="A746" s="51"/>
      <x:c r="B746" s="13"/>
      <x:c r="C746" s="13"/>
      <x:c r="D746" s="13"/>
      <x:c r="E746" s="13"/>
      <x:c r="F746" s="13"/>
      <x:c r="G746" s="13"/>
      <x:c r="H746" s="52"/>
      <x:c r="I746" s="13"/>
      <x:c r="J746" s="13"/>
    </x:row>
    <x:row r="747">
      <x:c r="A747" s="51"/>
      <x:c r="B747" s="13"/>
      <x:c r="C747" s="13"/>
      <x:c r="D747" s="13"/>
      <x:c r="E747" s="13"/>
      <x:c r="F747" s="13"/>
      <x:c r="G747" s="13"/>
      <x:c r="H747" s="52"/>
      <x:c r="I747" s="13"/>
      <x:c r="J747" s="13"/>
    </x:row>
    <x:row r="748">
      <x:c r="A748" s="51"/>
      <x:c r="B748" s="13"/>
      <x:c r="C748" s="13"/>
      <x:c r="D748" s="13"/>
      <x:c r="E748" s="13"/>
      <x:c r="F748" s="13"/>
      <x:c r="G748" s="13"/>
      <x:c r="H748" s="52"/>
      <x:c r="I748" s="13"/>
      <x:c r="J748" s="13"/>
    </x:row>
    <x:row r="749">
      <x:c r="A749" s="51"/>
      <x:c r="B749" s="13"/>
      <x:c r="C749" s="13"/>
      <x:c r="D749" s="13"/>
      <x:c r="E749" s="13"/>
      <x:c r="F749" s="13"/>
      <x:c r="G749" s="13"/>
      <x:c r="H749" s="52"/>
      <x:c r="I749" s="13"/>
      <x:c r="J749" s="13"/>
    </x:row>
    <x:row r="750">
      <x:c r="A750" s="51"/>
      <x:c r="B750" s="13"/>
      <x:c r="C750" s="13"/>
      <x:c r="D750" s="13"/>
      <x:c r="E750" s="13"/>
      <x:c r="F750" s="13"/>
      <x:c r="G750" s="13"/>
      <x:c r="H750" s="52"/>
      <x:c r="I750" s="13"/>
      <x:c r="J750" s="13"/>
    </x:row>
    <x:row r="751">
      <x:c r="A751" s="51"/>
      <x:c r="B751" s="13"/>
      <x:c r="C751" s="13"/>
      <x:c r="D751" s="13"/>
      <x:c r="E751" s="13"/>
      <x:c r="F751" s="13"/>
      <x:c r="G751" s="13"/>
      <x:c r="H751" s="52"/>
      <x:c r="I751" s="13"/>
      <x:c r="J751" s="13"/>
    </x:row>
    <x:row r="752">
      <x:c r="A752" s="51"/>
      <x:c r="B752" s="13"/>
      <x:c r="C752" s="13"/>
      <x:c r="D752" s="13"/>
      <x:c r="E752" s="13"/>
      <x:c r="F752" s="13"/>
      <x:c r="G752" s="13"/>
      <x:c r="H752" s="52"/>
      <x:c r="I752" s="13"/>
      <x:c r="J752" s="13"/>
    </x:row>
    <x:row r="753">
      <x:c r="A753" s="51"/>
      <x:c r="B753" s="13"/>
      <x:c r="C753" s="13"/>
      <x:c r="D753" s="13"/>
      <x:c r="E753" s="13"/>
      <x:c r="F753" s="13"/>
      <x:c r="G753" s="13"/>
      <x:c r="H753" s="52"/>
      <x:c r="I753" s="13"/>
      <x:c r="J753" s="13"/>
    </x:row>
    <x:row r="754">
      <x:c r="A754" s="51"/>
      <x:c r="B754" s="13"/>
      <x:c r="C754" s="13"/>
      <x:c r="D754" s="13"/>
      <x:c r="E754" s="13"/>
      <x:c r="F754" s="13"/>
      <x:c r="G754" s="13"/>
      <x:c r="H754" s="52"/>
      <x:c r="I754" s="13"/>
      <x:c r="J754" s="13"/>
    </x:row>
    <x:row r="755">
      <x:c r="A755" s="51"/>
      <x:c r="B755" s="13"/>
      <x:c r="C755" s="13"/>
      <x:c r="D755" s="13"/>
      <x:c r="E755" s="13"/>
      <x:c r="F755" s="13"/>
      <x:c r="G755" s="13"/>
      <x:c r="H755" s="52"/>
      <x:c r="I755" s="13"/>
      <x:c r="J755" s="13"/>
    </x:row>
    <x:row r="756">
      <x:c r="A756" s="51"/>
      <x:c r="B756" s="13"/>
      <x:c r="C756" s="13"/>
      <x:c r="D756" s="13"/>
      <x:c r="E756" s="13"/>
      <x:c r="F756" s="13"/>
      <x:c r="G756" s="13"/>
      <x:c r="H756" s="52"/>
      <x:c r="I756" s="13"/>
      <x:c r="J756" s="13"/>
    </x:row>
    <x:row r="757">
      <x:c r="A757" s="51"/>
      <x:c r="B757" s="13"/>
      <x:c r="C757" s="13"/>
      <x:c r="D757" s="13"/>
      <x:c r="E757" s="13"/>
      <x:c r="F757" s="13"/>
      <x:c r="G757" s="13"/>
      <x:c r="H757" s="52"/>
      <x:c r="I757" s="13"/>
      <x:c r="J757" s="13"/>
    </x:row>
    <x:row r="758">
      <x:c r="A758" s="51"/>
      <x:c r="B758" s="13"/>
      <x:c r="C758" s="13"/>
      <x:c r="D758" s="13"/>
      <x:c r="E758" s="13"/>
      <x:c r="F758" s="13"/>
      <x:c r="G758" s="13"/>
      <x:c r="H758" s="52"/>
      <x:c r="I758" s="13"/>
      <x:c r="J758" s="13"/>
    </x:row>
    <x:row r="759">
      <x:c r="A759" s="51"/>
      <x:c r="B759" s="13"/>
      <x:c r="C759" s="13"/>
      <x:c r="D759" s="13"/>
      <x:c r="E759" s="13"/>
      <x:c r="F759" s="13"/>
      <x:c r="G759" s="13"/>
      <x:c r="H759" s="52"/>
      <x:c r="I759" s="13"/>
      <x:c r="J759" s="13"/>
    </x:row>
    <x:row r="760">
      <x:c r="A760" s="51"/>
      <x:c r="B760" s="13"/>
      <x:c r="C760" s="13"/>
      <x:c r="D760" s="13"/>
      <x:c r="E760" s="13"/>
      <x:c r="F760" s="13"/>
      <x:c r="G760" s="13"/>
      <x:c r="H760" s="52"/>
      <x:c r="I760" s="13"/>
      <x:c r="J760" s="13"/>
    </x:row>
    <x:row r="761">
      <x:c r="A761" s="51"/>
      <x:c r="B761" s="13"/>
      <x:c r="C761" s="13"/>
      <x:c r="D761" s="13"/>
      <x:c r="E761" s="13"/>
      <x:c r="F761" s="13"/>
      <x:c r="G761" s="13"/>
      <x:c r="H761" s="52"/>
      <x:c r="I761" s="13"/>
      <x:c r="J761" s="13"/>
    </x:row>
    <x:row r="762">
      <x:c r="A762" s="51"/>
      <x:c r="B762" s="13"/>
      <x:c r="C762" s="13"/>
      <x:c r="D762" s="13"/>
      <x:c r="E762" s="13"/>
      <x:c r="F762" s="13"/>
      <x:c r="G762" s="13"/>
      <x:c r="H762" s="52"/>
      <x:c r="I762" s="13"/>
      <x:c r="J762" s="13"/>
    </x:row>
    <x:row r="763">
      <x:c r="A763" s="51"/>
      <x:c r="B763" s="13"/>
      <x:c r="C763" s="13"/>
      <x:c r="D763" s="13"/>
      <x:c r="E763" s="13"/>
      <x:c r="F763" s="13"/>
      <x:c r="G763" s="13"/>
      <x:c r="H763" s="52"/>
      <x:c r="I763" s="13"/>
      <x:c r="J763" s="13"/>
    </x:row>
    <x:row r="764">
      <x:c r="A764" s="51"/>
      <x:c r="B764" s="13"/>
      <x:c r="C764" s="13"/>
      <x:c r="D764" s="13"/>
      <x:c r="E764" s="13"/>
      <x:c r="F764" s="13"/>
      <x:c r="G764" s="13"/>
      <x:c r="H764" s="52"/>
      <x:c r="I764" s="13"/>
      <x:c r="J764" s="13"/>
    </x:row>
    <x:row r="765">
      <x:c r="A765" s="51"/>
      <x:c r="B765" s="13"/>
      <x:c r="C765" s="13"/>
      <x:c r="D765" s="13"/>
      <x:c r="E765" s="13"/>
      <x:c r="F765" s="13"/>
      <x:c r="G765" s="13"/>
      <x:c r="H765" s="52"/>
      <x:c r="I765" s="13"/>
      <x:c r="J765" s="13"/>
    </x:row>
    <x:row r="766">
      <x:c r="A766" s="51"/>
      <x:c r="B766" s="13"/>
      <x:c r="C766" s="13"/>
      <x:c r="D766" s="13"/>
      <x:c r="E766" s="13"/>
      <x:c r="F766" s="13"/>
      <x:c r="G766" s="13"/>
      <x:c r="H766" s="52"/>
      <x:c r="I766" s="13"/>
      <x:c r="J766" s="13"/>
    </x:row>
    <x:row r="767">
      <x:c r="A767" s="51"/>
      <x:c r="B767" s="13"/>
      <x:c r="C767" s="13"/>
      <x:c r="D767" s="13"/>
      <x:c r="E767" s="13"/>
      <x:c r="F767" s="13"/>
      <x:c r="G767" s="13"/>
      <x:c r="H767" s="52"/>
      <x:c r="I767" s="13"/>
      <x:c r="J767" s="13"/>
    </x:row>
    <x:row r="768">
      <x:c r="A768" s="51"/>
      <x:c r="B768" s="13"/>
      <x:c r="C768" s="13"/>
      <x:c r="D768" s="13"/>
      <x:c r="E768" s="13"/>
      <x:c r="F768" s="13"/>
      <x:c r="G768" s="13"/>
      <x:c r="H768" s="52"/>
      <x:c r="I768" s="13"/>
      <x:c r="J768" s="13"/>
    </x:row>
    <x:row r="769">
      <x:c r="A769" s="51"/>
      <x:c r="B769" s="13"/>
      <x:c r="C769" s="13"/>
      <x:c r="D769" s="13"/>
      <x:c r="E769" s="13"/>
      <x:c r="F769" s="13"/>
      <x:c r="G769" s="13"/>
      <x:c r="H769" s="52"/>
      <x:c r="I769" s="13"/>
      <x:c r="J769" s="13"/>
    </x:row>
    <x:row r="770">
      <x:c r="A770" s="51"/>
      <x:c r="B770" s="13"/>
      <x:c r="C770" s="13"/>
      <x:c r="D770" s="13"/>
      <x:c r="E770" s="13"/>
      <x:c r="F770" s="13"/>
      <x:c r="G770" s="13"/>
      <x:c r="H770" s="52"/>
      <x:c r="I770" s="13"/>
      <x:c r="J770" s="13"/>
    </x:row>
    <x:row r="771">
      <x:c r="A771" s="51"/>
      <x:c r="B771" s="13"/>
      <x:c r="C771" s="13"/>
      <x:c r="D771" s="13"/>
      <x:c r="E771" s="13"/>
      <x:c r="F771" s="13"/>
      <x:c r="G771" s="13"/>
      <x:c r="H771" s="52"/>
      <x:c r="I771" s="13"/>
      <x:c r="J771" s="13"/>
    </x:row>
    <x:row r="772">
      <x:c r="A772" s="51"/>
      <x:c r="B772" s="13"/>
      <x:c r="C772" s="13"/>
      <x:c r="D772" s="13"/>
      <x:c r="E772" s="13"/>
      <x:c r="F772" s="13"/>
      <x:c r="G772" s="13"/>
      <x:c r="H772" s="52"/>
      <x:c r="I772" s="13"/>
      <x:c r="J772" s="13"/>
    </x:row>
    <x:row r="773">
      <x:c r="A773" s="51"/>
      <x:c r="B773" s="13"/>
      <x:c r="C773" s="13"/>
      <x:c r="D773" s="13"/>
      <x:c r="E773" s="13"/>
      <x:c r="F773" s="13"/>
      <x:c r="G773" s="13"/>
      <x:c r="H773" s="52"/>
      <x:c r="I773" s="13"/>
      <x:c r="J773" s="13"/>
    </x:row>
    <x:row r="774">
      <x:c r="A774" s="51"/>
      <x:c r="B774" s="13"/>
      <x:c r="C774" s="13"/>
      <x:c r="D774" s="13"/>
      <x:c r="E774" s="13"/>
      <x:c r="F774" s="13"/>
      <x:c r="G774" s="13"/>
      <x:c r="H774" s="52"/>
      <x:c r="I774" s="13"/>
      <x:c r="J774" s="13"/>
    </x:row>
    <x:row r="775">
      <x:c r="A775" s="51"/>
      <x:c r="B775" s="13"/>
      <x:c r="C775" s="13"/>
      <x:c r="D775" s="13"/>
      <x:c r="E775" s="13"/>
      <x:c r="F775" s="13"/>
      <x:c r="G775" s="13"/>
      <x:c r="H775" s="52"/>
      <x:c r="I775" s="13"/>
      <x:c r="J775" s="13"/>
    </x:row>
    <x:row r="776">
      <x:c r="A776" s="51"/>
      <x:c r="B776" s="13"/>
      <x:c r="C776" s="13"/>
      <x:c r="D776" s="13"/>
      <x:c r="E776" s="13"/>
      <x:c r="F776" s="13"/>
      <x:c r="G776" s="13"/>
      <x:c r="H776" s="52"/>
      <x:c r="I776" s="13"/>
      <x:c r="J776" s="13"/>
    </x:row>
    <x:row r="777">
      <x:c r="A777" s="51"/>
      <x:c r="B777" s="13"/>
      <x:c r="C777" s="13"/>
      <x:c r="D777" s="13"/>
      <x:c r="E777" s="13"/>
      <x:c r="F777" s="13"/>
      <x:c r="G777" s="13"/>
      <x:c r="H777" s="52"/>
      <x:c r="I777" s="13"/>
      <x:c r="J777" s="13"/>
    </x:row>
    <x:row r="778">
      <x:c r="A778" s="51"/>
      <x:c r="B778" s="13"/>
      <x:c r="C778" s="13"/>
      <x:c r="D778" s="13"/>
      <x:c r="E778" s="13"/>
      <x:c r="F778" s="13"/>
      <x:c r="G778" s="13"/>
      <x:c r="H778" s="52"/>
      <x:c r="I778" s="13"/>
      <x:c r="J778" s="13"/>
    </x:row>
    <x:row r="779">
      <x:c r="A779" s="51"/>
      <x:c r="B779" s="13"/>
      <x:c r="C779" s="13"/>
      <x:c r="D779" s="13"/>
      <x:c r="E779" s="13"/>
      <x:c r="F779" s="13"/>
      <x:c r="G779" s="13"/>
      <x:c r="H779" s="52"/>
      <x:c r="I779" s="13"/>
      <x:c r="J779" s="13"/>
    </x:row>
    <x:row r="780">
      <x:c r="A780" s="51"/>
      <x:c r="B780" s="13"/>
      <x:c r="C780" s="13"/>
      <x:c r="D780" s="13"/>
      <x:c r="E780" s="13"/>
      <x:c r="F780" s="13"/>
      <x:c r="G780" s="13"/>
      <x:c r="H780" s="52"/>
      <x:c r="I780" s="13"/>
      <x:c r="J780" s="13"/>
    </x:row>
    <x:row r="781">
      <x:c r="A781" s="51"/>
      <x:c r="B781" s="13"/>
      <x:c r="C781" s="13"/>
      <x:c r="D781" s="13"/>
      <x:c r="E781" s="13"/>
      <x:c r="F781" s="13"/>
      <x:c r="G781" s="13"/>
      <x:c r="H781" s="52"/>
      <x:c r="I781" s="13"/>
      <x:c r="J781" s="13"/>
    </x:row>
    <x:row r="782">
      <x:c r="A782" s="51"/>
      <x:c r="B782" s="13"/>
      <x:c r="C782" s="13"/>
      <x:c r="D782" s="13"/>
      <x:c r="E782" s="13"/>
      <x:c r="F782" s="13"/>
      <x:c r="G782" s="13"/>
      <x:c r="H782" s="52"/>
      <x:c r="I782" s="13"/>
      <x:c r="J782" s="13"/>
    </x:row>
    <x:row r="783">
      <x:c r="A783" s="51"/>
      <x:c r="B783" s="13"/>
      <x:c r="C783" s="13"/>
      <x:c r="D783" s="13"/>
      <x:c r="E783" s="13"/>
      <x:c r="F783" s="13"/>
      <x:c r="G783" s="13"/>
      <x:c r="H783" s="52"/>
      <x:c r="I783" s="13"/>
      <x:c r="J783" s="13"/>
    </x:row>
    <x:row r="784">
      <x:c r="A784" s="51"/>
      <x:c r="B784" s="13"/>
      <x:c r="C784" s="13"/>
      <x:c r="D784" s="13"/>
      <x:c r="E784" s="13"/>
      <x:c r="F784" s="13"/>
      <x:c r="G784" s="13"/>
      <x:c r="H784" s="52"/>
      <x:c r="I784" s="13"/>
      <x:c r="J784" s="13"/>
    </x:row>
    <x:row r="785">
      <x:c r="A785" s="51"/>
      <x:c r="B785" s="13"/>
      <x:c r="C785" s="13"/>
      <x:c r="D785" s="13"/>
      <x:c r="E785" s="13"/>
      <x:c r="F785" s="13"/>
      <x:c r="G785" s="13"/>
      <x:c r="H785" s="52"/>
      <x:c r="I785" s="13"/>
      <x:c r="J785" s="13"/>
    </x:row>
    <x:row r="786">
      <x:c r="A786" s="51"/>
      <x:c r="B786" s="13"/>
      <x:c r="C786" s="13"/>
      <x:c r="D786" s="13"/>
      <x:c r="E786" s="13"/>
      <x:c r="F786" s="13"/>
      <x:c r="G786" s="13"/>
      <x:c r="H786" s="52"/>
      <x:c r="I786" s="13"/>
      <x:c r="J786" s="13"/>
    </x:row>
    <x:row r="787">
      <x:c r="A787" s="51"/>
      <x:c r="B787" s="13"/>
      <x:c r="C787" s="13"/>
      <x:c r="D787" s="13"/>
      <x:c r="E787" s="13"/>
      <x:c r="F787" s="13"/>
      <x:c r="G787" s="13"/>
      <x:c r="H787" s="52"/>
      <x:c r="I787" s="13"/>
      <x:c r="J787" s="13"/>
    </x:row>
    <x:row r="788">
      <x:c r="A788" s="51"/>
      <x:c r="B788" s="13"/>
      <x:c r="C788" s="13"/>
      <x:c r="D788" s="13"/>
      <x:c r="E788" s="13"/>
      <x:c r="F788" s="13"/>
      <x:c r="G788" s="13"/>
      <x:c r="H788" s="52"/>
      <x:c r="I788" s="13"/>
      <x:c r="J788" s="13"/>
    </x:row>
    <x:row r="789">
      <x:c r="A789" s="51"/>
      <x:c r="B789" s="13"/>
      <x:c r="C789" s="13"/>
      <x:c r="D789" s="13"/>
      <x:c r="E789" s="13"/>
      <x:c r="F789" s="13"/>
      <x:c r="G789" s="13"/>
      <x:c r="H789" s="52"/>
      <x:c r="I789" s="13"/>
      <x:c r="J789" s="13"/>
    </x:row>
    <x:row r="790">
      <x:c r="A790" s="51"/>
      <x:c r="B790" s="13"/>
      <x:c r="C790" s="13"/>
      <x:c r="D790" s="13"/>
      <x:c r="E790" s="13"/>
      <x:c r="F790" s="13"/>
      <x:c r="G790" s="13"/>
      <x:c r="H790" s="52"/>
      <x:c r="I790" s="13"/>
      <x:c r="J790" s="13"/>
    </x:row>
    <x:row r="791">
      <x:c r="A791" s="51"/>
      <x:c r="B791" s="13"/>
      <x:c r="C791" s="13"/>
      <x:c r="D791" s="13"/>
      <x:c r="E791" s="13"/>
      <x:c r="F791" s="13"/>
      <x:c r="G791" s="13"/>
      <x:c r="H791" s="52"/>
      <x:c r="I791" s="13"/>
      <x:c r="J791" s="13"/>
    </x:row>
    <x:row r="792">
      <x:c r="A792" s="51"/>
      <x:c r="B792" s="13"/>
      <x:c r="C792" s="13"/>
      <x:c r="D792" s="13"/>
      <x:c r="E792" s="13"/>
      <x:c r="F792" s="13"/>
      <x:c r="G792" s="13"/>
      <x:c r="H792" s="52"/>
      <x:c r="I792" s="13"/>
      <x:c r="J792" s="13"/>
    </x:row>
    <x:row r="793">
      <x:c r="A793" s="51"/>
      <x:c r="B793" s="13"/>
      <x:c r="C793" s="13"/>
      <x:c r="D793" s="13"/>
      <x:c r="E793" s="13"/>
      <x:c r="F793" s="13"/>
      <x:c r="G793" s="13"/>
      <x:c r="H793" s="52"/>
      <x:c r="I793" s="13"/>
      <x:c r="J793" s="13"/>
    </x:row>
    <x:row r="794">
      <x:c r="A794" s="51"/>
      <x:c r="B794" s="13"/>
      <x:c r="C794" s="13"/>
      <x:c r="D794" s="13"/>
      <x:c r="E794" s="13"/>
      <x:c r="F794" s="13"/>
      <x:c r="G794" s="13"/>
      <x:c r="H794" s="52"/>
      <x:c r="I794" s="13"/>
      <x:c r="J794" s="13"/>
    </x:row>
    <x:row r="795">
      <x:c r="A795" s="51"/>
      <x:c r="B795" s="13"/>
      <x:c r="C795" s="13"/>
      <x:c r="D795" s="13"/>
      <x:c r="E795" s="13"/>
      <x:c r="F795" s="13"/>
      <x:c r="G795" s="13"/>
      <x:c r="H795" s="52"/>
      <x:c r="I795" s="13"/>
      <x:c r="J795" s="13"/>
    </x:row>
    <x:row r="796">
      <x:c r="A796" s="51"/>
      <x:c r="B796" s="13"/>
      <x:c r="C796" s="13"/>
      <x:c r="D796" s="13"/>
      <x:c r="E796" s="13"/>
      <x:c r="F796" s="13"/>
      <x:c r="G796" s="13"/>
      <x:c r="H796" s="52"/>
      <x:c r="I796" s="13"/>
      <x:c r="J796" s="13"/>
    </x:row>
    <x:row r="797">
      <x:c r="A797" s="51"/>
      <x:c r="B797" s="13"/>
      <x:c r="C797" s="13"/>
      <x:c r="D797" s="13"/>
      <x:c r="E797" s="13"/>
      <x:c r="F797" s="13"/>
      <x:c r="G797" s="13"/>
      <x:c r="H797" s="52"/>
      <x:c r="I797" s="13"/>
      <x:c r="J797" s="13"/>
    </x:row>
    <x:row r="798">
      <x:c r="A798" s="51"/>
      <x:c r="B798" s="13"/>
      <x:c r="C798" s="13"/>
      <x:c r="D798" s="13"/>
      <x:c r="E798" s="13"/>
      <x:c r="F798" s="13"/>
      <x:c r="G798" s="13"/>
      <x:c r="H798" s="52"/>
      <x:c r="I798" s="13"/>
      <x:c r="J798" s="13"/>
    </x:row>
    <x:row r="799">
      <x:c r="A799" s="51"/>
      <x:c r="B799" s="13"/>
      <x:c r="C799" s="13"/>
      <x:c r="D799" s="13"/>
      <x:c r="E799" s="13"/>
      <x:c r="F799" s="13"/>
      <x:c r="G799" s="13"/>
      <x:c r="H799" s="52"/>
      <x:c r="I799" s="13"/>
      <x:c r="J799" s="13"/>
    </x:row>
    <x:row r="800">
      <x:c r="A800" s="51"/>
      <x:c r="B800" s="13"/>
      <x:c r="C800" s="13"/>
      <x:c r="D800" s="13"/>
      <x:c r="E800" s="13"/>
      <x:c r="F800" s="13"/>
      <x:c r="G800" s="13"/>
      <x:c r="H800" s="52"/>
      <x:c r="I800" s="13"/>
      <x:c r="J800" s="13"/>
    </x:row>
    <x:row r="801">
      <x:c r="A801" s="51"/>
      <x:c r="B801" s="13"/>
      <x:c r="C801" s="13"/>
      <x:c r="D801" s="13"/>
      <x:c r="E801" s="13"/>
      <x:c r="F801" s="13"/>
      <x:c r="G801" s="13"/>
      <x:c r="H801" s="52"/>
      <x:c r="I801" s="13"/>
      <x:c r="J801" s="13"/>
    </x:row>
    <x:row r="802">
      <x:c r="A802" s="51"/>
      <x:c r="B802" s="13"/>
      <x:c r="C802" s="13"/>
      <x:c r="D802" s="13"/>
      <x:c r="E802" s="13"/>
      <x:c r="F802" s="13"/>
      <x:c r="G802" s="13"/>
      <x:c r="H802" s="52"/>
      <x:c r="I802" s="13"/>
      <x:c r="J802" s="13"/>
    </x:row>
    <x:row r="803">
      <x:c r="A803" s="51"/>
      <x:c r="B803" s="13"/>
      <x:c r="C803" s="13"/>
      <x:c r="D803" s="13"/>
      <x:c r="E803" s="13"/>
      <x:c r="F803" s="13"/>
      <x:c r="G803" s="13"/>
      <x:c r="H803" s="52"/>
      <x:c r="I803" s="13"/>
      <x:c r="J803" s="13"/>
    </x:row>
    <x:row r="804">
      <x:c r="A804" s="51"/>
      <x:c r="B804" s="13"/>
      <x:c r="C804" s="13"/>
      <x:c r="D804" s="13"/>
      <x:c r="E804" s="13"/>
      <x:c r="F804" s="13"/>
      <x:c r="G804" s="13"/>
      <x:c r="H804" s="52"/>
      <x:c r="I804" s="13"/>
      <x:c r="J804" s="13"/>
    </x:row>
    <x:row r="805">
      <x:c r="A805" s="51"/>
      <x:c r="B805" s="13"/>
      <x:c r="C805" s="13"/>
      <x:c r="D805" s="13"/>
      <x:c r="E805" s="13"/>
      <x:c r="F805" s="13"/>
      <x:c r="G805" s="13"/>
      <x:c r="H805" s="52"/>
      <x:c r="I805" s="13"/>
      <x:c r="J805" s="13"/>
    </x:row>
    <x:row r="806">
      <x:c r="A806" s="51"/>
      <x:c r="B806" s="13"/>
      <x:c r="C806" s="13"/>
      <x:c r="D806" s="13"/>
      <x:c r="E806" s="13"/>
      <x:c r="F806" s="13"/>
      <x:c r="G806" s="13"/>
      <x:c r="H806" s="52"/>
      <x:c r="I806" s="13"/>
      <x:c r="J806" s="13"/>
    </x:row>
    <x:row r="807">
      <x:c r="A807" s="51"/>
      <x:c r="B807" s="13"/>
      <x:c r="C807" s="13"/>
      <x:c r="D807" s="13"/>
      <x:c r="E807" s="13"/>
      <x:c r="F807" s="13"/>
      <x:c r="G807" s="13"/>
      <x:c r="H807" s="52"/>
      <x:c r="I807" s="13"/>
      <x:c r="J807" s="13"/>
    </x:row>
    <x:row r="808">
      <x:c r="A808" s="51"/>
      <x:c r="B808" s="13"/>
      <x:c r="C808" s="13"/>
      <x:c r="D808" s="13"/>
      <x:c r="E808" s="13"/>
      <x:c r="F808" s="13"/>
      <x:c r="G808" s="13"/>
      <x:c r="H808" s="52"/>
      <x:c r="I808" s="13"/>
      <x:c r="J808" s="13"/>
    </x:row>
    <x:row r="809">
      <x:c r="A809" s="51"/>
      <x:c r="B809" s="13"/>
      <x:c r="C809" s="13"/>
      <x:c r="D809" s="13"/>
      <x:c r="E809" s="13"/>
      <x:c r="F809" s="13"/>
      <x:c r="G809" s="13"/>
      <x:c r="H809" s="52"/>
      <x:c r="I809" s="13"/>
      <x:c r="J809" s="13"/>
    </x:row>
    <x:row r="810">
      <x:c r="A810" s="51"/>
      <x:c r="B810" s="13"/>
      <x:c r="C810" s="13"/>
      <x:c r="D810" s="13"/>
      <x:c r="E810" s="13"/>
      <x:c r="F810" s="13"/>
      <x:c r="G810" s="13"/>
      <x:c r="H810" s="52"/>
      <x:c r="I810" s="13"/>
      <x:c r="J810" s="13"/>
    </x:row>
    <x:row r="811">
      <x:c r="A811" s="51"/>
      <x:c r="B811" s="13"/>
      <x:c r="C811" s="13"/>
      <x:c r="D811" s="13"/>
      <x:c r="E811" s="13"/>
      <x:c r="F811" s="13"/>
      <x:c r="G811" s="13"/>
      <x:c r="H811" s="52"/>
      <x:c r="I811" s="13"/>
      <x:c r="J811" s="13"/>
    </x:row>
    <x:row r="812">
      <x:c r="A812" s="51"/>
      <x:c r="B812" s="13"/>
      <x:c r="C812" s="13"/>
      <x:c r="D812" s="13"/>
      <x:c r="E812" s="13"/>
      <x:c r="F812" s="13"/>
      <x:c r="G812" s="13"/>
      <x:c r="H812" s="52"/>
      <x:c r="I812" s="13"/>
      <x:c r="J812" s="13"/>
    </x:row>
    <x:row r="813">
      <x:c r="A813" s="51"/>
      <x:c r="B813" s="13"/>
      <x:c r="C813" s="13"/>
      <x:c r="D813" s="13"/>
      <x:c r="E813" s="13"/>
      <x:c r="F813" s="13"/>
      <x:c r="G813" s="13"/>
      <x:c r="H813" s="52"/>
      <x:c r="I813" s="13"/>
      <x:c r="J813" s="13"/>
    </x:row>
    <x:row r="814">
      <x:c r="A814" s="51"/>
      <x:c r="B814" s="13"/>
      <x:c r="C814" s="13"/>
      <x:c r="D814" s="13"/>
      <x:c r="E814" s="13"/>
      <x:c r="F814" s="13"/>
      <x:c r="G814" s="13"/>
      <x:c r="H814" s="52"/>
      <x:c r="I814" s="13"/>
      <x:c r="J814" s="13"/>
    </x:row>
    <x:row r="815">
      <x:c r="A815" s="51"/>
      <x:c r="B815" s="13"/>
      <x:c r="C815" s="13"/>
      <x:c r="D815" s="13"/>
      <x:c r="E815" s="13"/>
      <x:c r="F815" s="13"/>
      <x:c r="G815" s="13"/>
      <x:c r="H815" s="52"/>
      <x:c r="I815" s="13"/>
      <x:c r="J815" s="13"/>
    </x:row>
    <x:row r="816">
      <x:c r="A816" s="51"/>
      <x:c r="B816" s="13"/>
      <x:c r="C816" s="13"/>
      <x:c r="D816" s="13"/>
      <x:c r="E816" s="13"/>
      <x:c r="F816" s="13"/>
      <x:c r="G816" s="13"/>
      <x:c r="H816" s="52"/>
      <x:c r="I816" s="13"/>
      <x:c r="J816" s="13"/>
    </x:row>
    <x:row r="817">
      <x:c r="A817" s="51"/>
      <x:c r="B817" s="13"/>
      <x:c r="C817" s="13"/>
      <x:c r="D817" s="13"/>
      <x:c r="E817" s="13"/>
      <x:c r="F817" s="13"/>
      <x:c r="G817" s="13"/>
      <x:c r="H817" s="52"/>
      <x:c r="I817" s="13"/>
      <x:c r="J817" s="13"/>
    </x:row>
    <x:row r="818">
      <x:c r="A818" s="51"/>
      <x:c r="B818" s="13"/>
      <x:c r="C818" s="13"/>
      <x:c r="D818" s="13"/>
      <x:c r="E818" s="13"/>
      <x:c r="F818" s="13"/>
      <x:c r="G818" s="13"/>
      <x:c r="H818" s="52"/>
      <x:c r="I818" s="13"/>
      <x:c r="J818" s="13"/>
    </x:row>
    <x:row r="819">
      <x:c r="A819" s="51"/>
      <x:c r="B819" s="13"/>
      <x:c r="C819" s="13"/>
      <x:c r="D819" s="13"/>
      <x:c r="E819" s="13"/>
      <x:c r="F819" s="13"/>
      <x:c r="G819" s="13"/>
      <x:c r="H819" s="52"/>
      <x:c r="I819" s="13"/>
      <x:c r="J819" s="13"/>
    </x:row>
    <x:row r="820">
      <x:c r="A820" s="51"/>
      <x:c r="B820" s="13"/>
      <x:c r="C820" s="13"/>
      <x:c r="D820" s="13"/>
      <x:c r="E820" s="13"/>
      <x:c r="F820" s="13"/>
      <x:c r="G820" s="13"/>
      <x:c r="H820" s="52"/>
      <x:c r="I820" s="13"/>
      <x:c r="J820" s="13"/>
    </x:row>
    <x:row r="821">
      <x:c r="A821" s="51"/>
      <x:c r="B821" s="13"/>
      <x:c r="C821" s="13"/>
      <x:c r="D821" s="13"/>
      <x:c r="E821" s="13"/>
      <x:c r="F821" s="13"/>
      <x:c r="G821" s="13"/>
      <x:c r="H821" s="52"/>
      <x:c r="I821" s="13"/>
      <x:c r="J821" s="13"/>
    </x:row>
    <x:row r="822">
      <x:c r="A822" s="51"/>
      <x:c r="B822" s="13"/>
      <x:c r="C822" s="13"/>
      <x:c r="D822" s="13"/>
      <x:c r="E822" s="13"/>
      <x:c r="F822" s="13"/>
      <x:c r="G822" s="13"/>
      <x:c r="H822" s="52"/>
      <x:c r="I822" s="13"/>
      <x:c r="J822" s="13"/>
    </x:row>
    <x:row r="823">
      <x:c r="A823" s="51"/>
      <x:c r="B823" s="13"/>
      <x:c r="C823" s="13"/>
      <x:c r="D823" s="13"/>
      <x:c r="E823" s="13"/>
      <x:c r="F823" s="13"/>
      <x:c r="G823" s="13"/>
      <x:c r="H823" s="52"/>
      <x:c r="I823" s="13"/>
      <x:c r="J823" s="13"/>
    </x:row>
    <x:row r="824">
      <x:c r="A824" s="51"/>
      <x:c r="B824" s="13"/>
      <x:c r="C824" s="13"/>
      <x:c r="D824" s="13"/>
      <x:c r="E824" s="13"/>
      <x:c r="F824" s="13"/>
      <x:c r="G824" s="13"/>
      <x:c r="H824" s="52"/>
      <x:c r="I824" s="13"/>
      <x:c r="J824" s="13"/>
    </x:row>
    <x:row r="825">
      <x:c r="A825" s="51"/>
      <x:c r="B825" s="13"/>
      <x:c r="C825" s="13"/>
      <x:c r="D825" s="13"/>
      <x:c r="E825" s="13"/>
      <x:c r="F825" s="13"/>
      <x:c r="G825" s="13"/>
      <x:c r="H825" s="52"/>
      <x:c r="I825" s="13"/>
      <x:c r="J825" s="13"/>
    </x:row>
    <x:row r="826">
      <x:c r="A826" s="51"/>
      <x:c r="B826" s="13"/>
      <x:c r="C826" s="13"/>
      <x:c r="D826" s="13"/>
      <x:c r="E826" s="13"/>
      <x:c r="F826" s="13"/>
      <x:c r="G826" s="13"/>
      <x:c r="H826" s="52"/>
      <x:c r="I826" s="13"/>
      <x:c r="J826" s="13"/>
    </x:row>
    <x:row r="827">
      <x:c r="A827" s="51"/>
      <x:c r="B827" s="13"/>
      <x:c r="C827" s="13"/>
      <x:c r="D827" s="13"/>
      <x:c r="E827" s="13"/>
      <x:c r="F827" s="13"/>
      <x:c r="G827" s="13"/>
      <x:c r="H827" s="52"/>
      <x:c r="I827" s="13"/>
      <x:c r="J827" s="13"/>
    </x:row>
    <x:row r="828">
      <x:c r="A828" s="51"/>
      <x:c r="B828" s="13"/>
      <x:c r="C828" s="13"/>
      <x:c r="D828" s="13"/>
      <x:c r="E828" s="13"/>
      <x:c r="F828" s="13"/>
      <x:c r="G828" s="13"/>
      <x:c r="H828" s="52"/>
      <x:c r="I828" s="13"/>
      <x:c r="J828" s="13"/>
    </x:row>
    <x:row r="829">
      <x:c r="A829" s="51"/>
      <x:c r="B829" s="13"/>
      <x:c r="C829" s="13"/>
      <x:c r="D829" s="13"/>
      <x:c r="E829" s="13"/>
      <x:c r="F829" s="13"/>
      <x:c r="G829" s="13"/>
      <x:c r="H829" s="52"/>
      <x:c r="I829" s="13"/>
      <x:c r="J829" s="13"/>
    </x:row>
    <x:row r="830">
      <x:c r="A830" s="51"/>
      <x:c r="B830" s="13"/>
      <x:c r="C830" s="13"/>
      <x:c r="D830" s="13"/>
      <x:c r="E830" s="13"/>
      <x:c r="F830" s="13"/>
      <x:c r="G830" s="13"/>
      <x:c r="H830" s="52"/>
      <x:c r="I830" s="13"/>
      <x:c r="J830" s="13"/>
    </x:row>
    <x:row r="831">
      <x:c r="A831" s="51"/>
      <x:c r="B831" s="13"/>
      <x:c r="C831" s="13"/>
      <x:c r="D831" s="13"/>
      <x:c r="E831" s="13"/>
      <x:c r="F831" s="13"/>
      <x:c r="G831" s="13"/>
      <x:c r="H831" s="52"/>
      <x:c r="I831" s="13"/>
      <x:c r="J831" s="13"/>
    </x:row>
    <x:row r="832">
      <x:c r="A832" s="51"/>
      <x:c r="B832" s="13"/>
      <x:c r="C832" s="13"/>
      <x:c r="D832" s="13"/>
      <x:c r="E832" s="13"/>
      <x:c r="F832" s="13"/>
      <x:c r="G832" s="13"/>
      <x:c r="H832" s="52"/>
      <x:c r="I832" s="13"/>
      <x:c r="J832" s="13"/>
    </x:row>
    <x:row r="833">
      <x:c r="A833" s="51"/>
      <x:c r="B833" s="13"/>
      <x:c r="C833" s="13"/>
      <x:c r="D833" s="13"/>
      <x:c r="E833" s="13"/>
      <x:c r="F833" s="13"/>
      <x:c r="G833" s="13"/>
      <x:c r="H833" s="52"/>
      <x:c r="I833" s="13"/>
      <x:c r="J833" s="13"/>
    </x:row>
    <x:row r="834">
      <x:c r="A834" s="51"/>
      <x:c r="B834" s="13"/>
      <x:c r="C834" s="13"/>
      <x:c r="D834" s="13"/>
      <x:c r="E834" s="13"/>
      <x:c r="F834" s="13"/>
      <x:c r="G834" s="13"/>
      <x:c r="H834" s="52"/>
      <x:c r="I834" s="13"/>
      <x:c r="J834" s="13"/>
    </x:row>
    <x:row r="835">
      <x:c r="A835" s="51"/>
      <x:c r="B835" s="13"/>
      <x:c r="C835" s="13"/>
      <x:c r="D835" s="13"/>
      <x:c r="E835" s="13"/>
      <x:c r="F835" s="13"/>
      <x:c r="G835" s="13"/>
      <x:c r="H835" s="52"/>
      <x:c r="I835" s="13"/>
      <x:c r="J835" s="13"/>
    </x:row>
    <x:row r="836">
      <x:c r="A836" s="51"/>
      <x:c r="B836" s="13"/>
      <x:c r="C836" s="13"/>
      <x:c r="D836" s="13"/>
      <x:c r="E836" s="13"/>
      <x:c r="F836" s="13"/>
      <x:c r="G836" s="13"/>
      <x:c r="H836" s="52"/>
      <x:c r="I836" s="13"/>
      <x:c r="J836" s="13"/>
    </x:row>
    <x:row r="837">
      <x:c r="A837" s="51"/>
      <x:c r="B837" s="13"/>
      <x:c r="C837" s="13"/>
      <x:c r="D837" s="13"/>
      <x:c r="E837" s="13"/>
      <x:c r="F837" s="13"/>
      <x:c r="G837" s="13"/>
      <x:c r="H837" s="52"/>
      <x:c r="I837" s="13"/>
      <x:c r="J837" s="13"/>
    </x:row>
    <x:row r="838">
      <x:c r="A838" s="51"/>
      <x:c r="B838" s="13"/>
      <x:c r="C838" s="13"/>
      <x:c r="D838" s="13"/>
      <x:c r="E838" s="13"/>
      <x:c r="F838" s="13"/>
      <x:c r="G838" s="13"/>
      <x:c r="H838" s="52"/>
      <x:c r="I838" s="13"/>
      <x:c r="J838" s="13"/>
    </x:row>
    <x:row r="839">
      <x:c r="A839" s="51"/>
      <x:c r="B839" s="13"/>
      <x:c r="C839" s="13"/>
      <x:c r="D839" s="13"/>
      <x:c r="E839" s="13"/>
      <x:c r="F839" s="13"/>
      <x:c r="G839" s="13"/>
      <x:c r="H839" s="52"/>
      <x:c r="I839" s="13"/>
      <x:c r="J839" s="13"/>
    </x:row>
    <x:row r="840">
      <x:c r="A840" s="51"/>
      <x:c r="B840" s="13"/>
      <x:c r="C840" s="13"/>
      <x:c r="D840" s="13"/>
      <x:c r="E840" s="13"/>
      <x:c r="F840" s="13"/>
      <x:c r="G840" s="13"/>
      <x:c r="H840" s="52"/>
      <x:c r="I840" s="13"/>
      <x:c r="J840" s="13"/>
    </x:row>
    <x:row r="841">
      <x:c r="A841" s="51"/>
      <x:c r="B841" s="13"/>
      <x:c r="C841" s="13"/>
      <x:c r="D841" s="13"/>
      <x:c r="E841" s="13"/>
      <x:c r="F841" s="13"/>
      <x:c r="G841" s="13"/>
      <x:c r="H841" s="52"/>
      <x:c r="I841" s="13"/>
      <x:c r="J841" s="13"/>
    </x:row>
    <x:row r="842">
      <x:c r="A842" s="51"/>
      <x:c r="B842" s="13"/>
      <x:c r="C842" s="13"/>
      <x:c r="D842" s="13"/>
      <x:c r="E842" s="13"/>
      <x:c r="F842" s="13"/>
      <x:c r="G842" s="13"/>
      <x:c r="H842" s="52"/>
      <x:c r="I842" s="13"/>
      <x:c r="J842" s="13"/>
    </x:row>
    <x:row r="843">
      <x:c r="A843" s="51"/>
      <x:c r="B843" s="13"/>
      <x:c r="C843" s="13"/>
      <x:c r="D843" s="13"/>
      <x:c r="E843" s="13"/>
      <x:c r="F843" s="13"/>
      <x:c r="G843" s="13"/>
      <x:c r="H843" s="52"/>
      <x:c r="I843" s="13"/>
      <x:c r="J843" s="13"/>
    </x:row>
    <x:row r="844">
      <x:c r="A844" s="51"/>
      <x:c r="B844" s="13"/>
      <x:c r="C844" s="13"/>
      <x:c r="D844" s="13"/>
      <x:c r="E844" s="13"/>
      <x:c r="F844" s="13"/>
      <x:c r="G844" s="13"/>
      <x:c r="H844" s="52"/>
      <x:c r="I844" s="13"/>
      <x:c r="J844" s="13"/>
    </x:row>
    <x:row r="845">
      <x:c r="A845" s="51"/>
      <x:c r="B845" s="13"/>
      <x:c r="C845" s="13"/>
      <x:c r="D845" s="13"/>
      <x:c r="E845" s="13"/>
      <x:c r="F845" s="13"/>
      <x:c r="G845" s="13"/>
      <x:c r="H845" s="52"/>
      <x:c r="I845" s="13"/>
      <x:c r="J845" s="13"/>
    </x:row>
    <x:row r="846">
      <x:c r="A846" s="51"/>
      <x:c r="B846" s="13"/>
      <x:c r="C846" s="13"/>
      <x:c r="D846" s="13"/>
      <x:c r="E846" s="13"/>
      <x:c r="F846" s="13"/>
      <x:c r="G846" s="13"/>
      <x:c r="H846" s="52"/>
      <x:c r="I846" s="13"/>
      <x:c r="J846" s="13"/>
    </x:row>
    <x:row r="847">
      <x:c r="A847" s="51"/>
      <x:c r="B847" s="13"/>
      <x:c r="C847" s="13"/>
      <x:c r="D847" s="13"/>
      <x:c r="E847" s="13"/>
      <x:c r="F847" s="13"/>
      <x:c r="G847" s="13"/>
      <x:c r="H847" s="52"/>
      <x:c r="I847" s="13"/>
      <x:c r="J847" s="13"/>
    </x:row>
    <x:row r="848">
      <x:c r="A848" s="51"/>
      <x:c r="B848" s="13"/>
      <x:c r="C848" s="13"/>
      <x:c r="D848" s="13"/>
      <x:c r="E848" s="13"/>
      <x:c r="F848" s="13"/>
      <x:c r="G848" s="13"/>
      <x:c r="H848" s="52"/>
      <x:c r="I848" s="13"/>
      <x:c r="J848" s="13"/>
    </x:row>
    <x:row r="849">
      <x:c r="A849" s="51"/>
      <x:c r="B849" s="13"/>
      <x:c r="C849" s="13"/>
      <x:c r="D849" s="13"/>
      <x:c r="E849" s="13"/>
      <x:c r="F849" s="13"/>
      <x:c r="G849" s="13"/>
      <x:c r="H849" s="52"/>
      <x:c r="I849" s="13"/>
      <x:c r="J849" s="13"/>
    </x:row>
    <x:row r="850">
      <x:c r="A850" s="51"/>
      <x:c r="B850" s="13"/>
      <x:c r="C850" s="13"/>
      <x:c r="D850" s="13"/>
      <x:c r="E850" s="13"/>
      <x:c r="F850" s="13"/>
      <x:c r="G850" s="13"/>
      <x:c r="H850" s="52"/>
      <x:c r="I850" s="13"/>
      <x:c r="J850" s="13"/>
    </x:row>
    <x:row r="851">
      <x:c r="A851" s="51"/>
      <x:c r="B851" s="13"/>
      <x:c r="C851" s="13"/>
      <x:c r="D851" s="13"/>
      <x:c r="E851" s="13"/>
      <x:c r="F851" s="13"/>
      <x:c r="G851" s="13"/>
      <x:c r="H851" s="52"/>
      <x:c r="I851" s="13"/>
      <x:c r="J851" s="13"/>
    </x:row>
    <x:row r="852">
      <x:c r="A852" s="51"/>
      <x:c r="B852" s="13"/>
      <x:c r="C852" s="13"/>
      <x:c r="D852" s="13"/>
      <x:c r="E852" s="13"/>
      <x:c r="F852" s="13"/>
      <x:c r="G852" s="13"/>
      <x:c r="H852" s="52"/>
      <x:c r="I852" s="13"/>
      <x:c r="J852" s="13"/>
    </x:row>
    <x:row r="853">
      <x:c r="A853" s="51"/>
      <x:c r="B853" s="13"/>
      <x:c r="C853" s="13"/>
      <x:c r="D853" s="13"/>
      <x:c r="E853" s="13"/>
      <x:c r="F853" s="13"/>
      <x:c r="G853" s="13"/>
      <x:c r="H853" s="52"/>
      <x:c r="I853" s="13"/>
      <x:c r="J853" s="13"/>
    </x:row>
    <x:row r="854">
      <x:c r="A854" s="51"/>
      <x:c r="B854" s="13"/>
      <x:c r="C854" s="13"/>
      <x:c r="D854" s="13"/>
      <x:c r="E854" s="13"/>
      <x:c r="F854" s="13"/>
      <x:c r="G854" s="13"/>
      <x:c r="H854" s="52"/>
      <x:c r="I854" s="13"/>
      <x:c r="J854" s="13"/>
    </x:row>
    <x:row r="855">
      <x:c r="A855" s="51"/>
      <x:c r="B855" s="13"/>
      <x:c r="C855" s="13"/>
      <x:c r="D855" s="13"/>
      <x:c r="E855" s="13"/>
      <x:c r="F855" s="13"/>
      <x:c r="G855" s="13"/>
      <x:c r="H855" s="52"/>
      <x:c r="I855" s="13"/>
      <x:c r="J855" s="13"/>
    </x:row>
    <x:row r="856">
      <x:c r="A856" s="51"/>
      <x:c r="B856" s="13"/>
      <x:c r="C856" s="13"/>
      <x:c r="D856" s="13"/>
      <x:c r="E856" s="13"/>
      <x:c r="F856" s="13"/>
      <x:c r="G856" s="13"/>
      <x:c r="H856" s="52"/>
      <x:c r="I856" s="13"/>
      <x:c r="J856" s="13"/>
    </x:row>
    <x:row r="857">
      <x:c r="A857" s="51"/>
      <x:c r="B857" s="13"/>
      <x:c r="C857" s="13"/>
      <x:c r="D857" s="13"/>
      <x:c r="E857" s="13"/>
      <x:c r="F857" s="13"/>
      <x:c r="G857" s="13"/>
      <x:c r="H857" s="52"/>
      <x:c r="I857" s="13"/>
      <x:c r="J857" s="13"/>
    </x:row>
    <x:row r="858">
      <x:c r="A858" s="51"/>
      <x:c r="B858" s="13"/>
      <x:c r="C858" s="13"/>
      <x:c r="D858" s="13"/>
      <x:c r="E858" s="13"/>
      <x:c r="F858" s="13"/>
      <x:c r="G858" s="13"/>
      <x:c r="H858" s="52"/>
      <x:c r="I858" s="13"/>
      <x:c r="J858" s="13"/>
    </x:row>
    <x:row r="859">
      <x:c r="A859" s="51"/>
      <x:c r="B859" s="13"/>
      <x:c r="C859" s="13"/>
      <x:c r="D859" s="13"/>
      <x:c r="E859" s="13"/>
      <x:c r="F859" s="13"/>
      <x:c r="G859" s="13"/>
      <x:c r="H859" s="52"/>
      <x:c r="I859" s="13"/>
      <x:c r="J859" s="13"/>
    </x:row>
    <x:row r="860">
      <x:c r="A860" s="51"/>
      <x:c r="B860" s="13"/>
      <x:c r="C860" s="13"/>
      <x:c r="D860" s="13"/>
      <x:c r="E860" s="13"/>
      <x:c r="F860" s="13"/>
      <x:c r="G860" s="13"/>
      <x:c r="H860" s="52"/>
      <x:c r="I860" s="13"/>
      <x:c r="J860" s="13"/>
    </x:row>
    <x:row r="861">
      <x:c r="A861" s="51"/>
      <x:c r="B861" s="13"/>
      <x:c r="C861" s="13"/>
      <x:c r="D861" s="13"/>
      <x:c r="E861" s="13"/>
      <x:c r="F861" s="13"/>
      <x:c r="G861" s="13"/>
      <x:c r="H861" s="52"/>
      <x:c r="I861" s="13"/>
      <x:c r="J861" s="13"/>
    </x:row>
    <x:row r="862">
      <x:c r="A862" s="51"/>
      <x:c r="B862" s="13"/>
      <x:c r="C862" s="13"/>
      <x:c r="D862" s="13"/>
      <x:c r="E862" s="13"/>
      <x:c r="F862" s="13"/>
      <x:c r="G862" s="13"/>
      <x:c r="H862" s="52"/>
      <x:c r="I862" s="13"/>
      <x:c r="J862" s="13"/>
    </x:row>
    <x:row r="863">
      <x:c r="A863" s="51"/>
      <x:c r="B863" s="13"/>
      <x:c r="C863" s="13"/>
      <x:c r="D863" s="13"/>
      <x:c r="E863" s="13"/>
      <x:c r="F863" s="13"/>
      <x:c r="G863" s="13"/>
      <x:c r="H863" s="52"/>
      <x:c r="I863" s="13"/>
      <x:c r="J863" s="13"/>
    </x:row>
    <x:row r="864">
      <x:c r="A864" s="51"/>
      <x:c r="B864" s="13"/>
      <x:c r="C864" s="13"/>
      <x:c r="D864" s="13"/>
      <x:c r="E864" s="13"/>
      <x:c r="F864" s="13"/>
      <x:c r="G864" s="13"/>
      <x:c r="H864" s="52"/>
      <x:c r="I864" s="13"/>
      <x:c r="J864" s="13"/>
    </x:row>
    <x:row r="865">
      <x:c r="A865" s="51"/>
      <x:c r="B865" s="13"/>
      <x:c r="C865" s="13"/>
      <x:c r="D865" s="13"/>
      <x:c r="E865" s="13"/>
      <x:c r="F865" s="13"/>
      <x:c r="G865" s="13"/>
      <x:c r="H865" s="52"/>
      <x:c r="I865" s="13"/>
      <x:c r="J865" s="13"/>
    </x:row>
    <x:row r="866">
      <x:c r="A866" s="51"/>
      <x:c r="B866" s="13"/>
      <x:c r="C866" s="13"/>
      <x:c r="D866" s="13"/>
      <x:c r="E866" s="13"/>
      <x:c r="F866" s="13"/>
      <x:c r="G866" s="13"/>
      <x:c r="H866" s="52"/>
      <x:c r="I866" s="13"/>
      <x:c r="J866" s="13"/>
    </x:row>
    <x:row r="867">
      <x:c r="A867" s="51"/>
      <x:c r="B867" s="13"/>
      <x:c r="C867" s="13"/>
      <x:c r="D867" s="13"/>
      <x:c r="E867" s="13"/>
      <x:c r="F867" s="13"/>
      <x:c r="G867" s="13"/>
      <x:c r="H867" s="52"/>
      <x:c r="I867" s="13"/>
      <x:c r="J867" s="13"/>
    </x:row>
    <x:row r="868">
      <x:c r="A868" s="51"/>
      <x:c r="B868" s="13"/>
      <x:c r="C868" s="13"/>
      <x:c r="D868" s="13"/>
      <x:c r="E868" s="13"/>
      <x:c r="F868" s="13"/>
      <x:c r="G868" s="13"/>
      <x:c r="H868" s="52"/>
      <x:c r="I868" s="13"/>
      <x:c r="J868" s="13"/>
    </x:row>
    <x:row r="869">
      <x:c r="A869" s="51"/>
      <x:c r="B869" s="13"/>
      <x:c r="C869" s="13"/>
      <x:c r="D869" s="13"/>
      <x:c r="E869" s="13"/>
      <x:c r="F869" s="13"/>
      <x:c r="G869" s="13"/>
      <x:c r="H869" s="52"/>
      <x:c r="I869" s="13"/>
      <x:c r="J869" s="13"/>
    </x:row>
    <x:row r="870">
      <x:c r="A870" s="51"/>
      <x:c r="B870" s="13"/>
      <x:c r="C870" s="13"/>
      <x:c r="D870" s="13"/>
      <x:c r="E870" s="13"/>
      <x:c r="F870" s="13"/>
      <x:c r="G870" s="13"/>
      <x:c r="H870" s="52"/>
      <x:c r="I870" s="13"/>
      <x:c r="J870" s="13"/>
    </x:row>
    <x:row r="871">
      <x:c r="A871" s="51"/>
      <x:c r="B871" s="13"/>
      <x:c r="C871" s="13"/>
      <x:c r="D871" s="13"/>
      <x:c r="E871" s="13"/>
      <x:c r="F871" s="13"/>
      <x:c r="G871" s="13"/>
      <x:c r="H871" s="52"/>
      <x:c r="I871" s="13"/>
      <x:c r="J871" s="13"/>
    </x:row>
    <x:row r="872">
      <x:c r="A872" s="51"/>
      <x:c r="B872" s="13"/>
      <x:c r="C872" s="13"/>
      <x:c r="D872" s="13"/>
      <x:c r="E872" s="13"/>
      <x:c r="F872" s="13"/>
      <x:c r="G872" s="13"/>
      <x:c r="H872" s="52"/>
      <x:c r="I872" s="13"/>
      <x:c r="J872" s="13"/>
    </x:row>
    <x:row r="873">
      <x:c r="A873" s="51"/>
      <x:c r="B873" s="13"/>
      <x:c r="C873" s="13"/>
      <x:c r="D873" s="13"/>
      <x:c r="E873" s="13"/>
      <x:c r="F873" s="13"/>
      <x:c r="G873" s="13"/>
      <x:c r="H873" s="52"/>
      <x:c r="I873" s="13"/>
      <x:c r="J873" s="13"/>
    </x:row>
    <x:row r="874">
      <x:c r="A874" s="51"/>
      <x:c r="B874" s="13"/>
      <x:c r="C874" s="13"/>
      <x:c r="D874" s="13"/>
      <x:c r="E874" s="13"/>
      <x:c r="F874" s="13"/>
      <x:c r="G874" s="13"/>
      <x:c r="H874" s="52"/>
      <x:c r="I874" s="13"/>
      <x:c r="J874" s="13"/>
    </x:row>
    <x:row r="875">
      <x:c r="A875" s="51"/>
      <x:c r="B875" s="13"/>
      <x:c r="C875" s="13"/>
      <x:c r="D875" s="13"/>
      <x:c r="E875" s="13"/>
      <x:c r="F875" s="13"/>
      <x:c r="G875" s="13"/>
      <x:c r="H875" s="52"/>
      <x:c r="I875" s="13"/>
      <x:c r="J875" s="13"/>
    </x:row>
    <x:row r="876">
      <x:c r="A876" s="51"/>
      <x:c r="B876" s="13"/>
      <x:c r="C876" s="13"/>
      <x:c r="D876" s="13"/>
      <x:c r="E876" s="13"/>
      <x:c r="F876" s="13"/>
      <x:c r="G876" s="13"/>
      <x:c r="H876" s="52"/>
      <x:c r="I876" s="13"/>
      <x:c r="J876" s="13"/>
    </x:row>
    <x:row r="877">
      <x:c r="A877" s="51"/>
      <x:c r="B877" s="13"/>
      <x:c r="C877" s="13"/>
      <x:c r="D877" s="13"/>
      <x:c r="E877" s="13"/>
      <x:c r="F877" s="13"/>
      <x:c r="G877" s="13"/>
      <x:c r="H877" s="52"/>
      <x:c r="I877" s="13"/>
      <x:c r="J877" s="13"/>
    </x:row>
    <x:row r="878">
      <x:c r="A878" s="51"/>
      <x:c r="B878" s="13"/>
      <x:c r="C878" s="13"/>
      <x:c r="D878" s="13"/>
      <x:c r="E878" s="13"/>
      <x:c r="F878" s="13"/>
      <x:c r="G878" s="13"/>
      <x:c r="H878" s="52"/>
      <x:c r="I878" s="13"/>
      <x:c r="J878" s="13"/>
    </x:row>
    <x:row r="879">
      <x:c r="A879" s="51"/>
      <x:c r="B879" s="13"/>
      <x:c r="C879" s="13"/>
      <x:c r="D879" s="13"/>
      <x:c r="E879" s="13"/>
      <x:c r="F879" s="13"/>
      <x:c r="G879" s="13"/>
      <x:c r="H879" s="52"/>
      <x:c r="I879" s="13"/>
      <x:c r="J879" s="13"/>
    </x:row>
    <x:row r="880">
      <x:c r="A880" s="51"/>
      <x:c r="B880" s="13"/>
      <x:c r="C880" s="13"/>
      <x:c r="D880" s="13"/>
      <x:c r="E880" s="13"/>
      <x:c r="F880" s="13"/>
      <x:c r="G880" s="13"/>
      <x:c r="H880" s="52"/>
      <x:c r="I880" s="13"/>
      <x:c r="J880" s="13"/>
    </x:row>
    <x:row r="881">
      <x:c r="A881" s="51"/>
      <x:c r="B881" s="13"/>
      <x:c r="C881" s="13"/>
      <x:c r="D881" s="13"/>
      <x:c r="E881" s="13"/>
      <x:c r="F881" s="13"/>
      <x:c r="G881" s="13"/>
      <x:c r="H881" s="52"/>
      <x:c r="I881" s="13"/>
      <x:c r="J881" s="13"/>
    </x:row>
    <x:row r="882">
      <x:c r="A882" s="51"/>
      <x:c r="B882" s="13"/>
      <x:c r="C882" s="13"/>
      <x:c r="D882" s="13"/>
      <x:c r="E882" s="13"/>
      <x:c r="F882" s="13"/>
      <x:c r="G882" s="13"/>
      <x:c r="H882" s="52"/>
      <x:c r="I882" s="13"/>
      <x:c r="J882" s="13"/>
    </x:row>
    <x:row r="883">
      <x:c r="A883" s="51"/>
      <x:c r="B883" s="13"/>
      <x:c r="C883" s="13"/>
      <x:c r="D883" s="13"/>
      <x:c r="E883" s="13"/>
      <x:c r="F883" s="13"/>
      <x:c r="G883" s="13"/>
      <x:c r="H883" s="52"/>
      <x:c r="I883" s="13"/>
      <x:c r="J883" s="13"/>
    </x:row>
    <x:row r="884">
      <x:c r="A884" s="51"/>
      <x:c r="B884" s="13"/>
      <x:c r="C884" s="13"/>
      <x:c r="D884" s="13"/>
      <x:c r="E884" s="13"/>
      <x:c r="F884" s="13"/>
      <x:c r="G884" s="13"/>
      <x:c r="H884" s="52"/>
      <x:c r="I884" s="13"/>
      <x:c r="J884" s="13"/>
    </x:row>
    <x:row r="885">
      <x:c r="A885" s="51"/>
      <x:c r="B885" s="13"/>
      <x:c r="C885" s="13"/>
      <x:c r="D885" s="13"/>
      <x:c r="E885" s="13"/>
      <x:c r="F885" s="13"/>
      <x:c r="G885" s="13"/>
      <x:c r="H885" s="52"/>
      <x:c r="I885" s="13"/>
      <x:c r="J885" s="13"/>
    </x:row>
    <x:row r="886">
      <x:c r="A886" s="51"/>
      <x:c r="B886" s="13"/>
      <x:c r="C886" s="13"/>
      <x:c r="D886" s="13"/>
      <x:c r="E886" s="13"/>
      <x:c r="F886" s="13"/>
      <x:c r="G886" s="13"/>
      <x:c r="H886" s="52"/>
      <x:c r="I886" s="13"/>
      <x:c r="J886" s="13"/>
    </x:row>
    <x:row r="887">
      <x:c r="A887" s="51"/>
      <x:c r="B887" s="13"/>
      <x:c r="C887" s="13"/>
      <x:c r="D887" s="13"/>
      <x:c r="E887" s="13"/>
      <x:c r="F887" s="13"/>
      <x:c r="G887" s="13"/>
      <x:c r="H887" s="52"/>
      <x:c r="I887" s="13"/>
      <x:c r="J887" s="13"/>
    </x:row>
    <x:row r="888">
      <x:c r="A888" s="51"/>
      <x:c r="B888" s="13"/>
      <x:c r="C888" s="13"/>
      <x:c r="D888" s="13"/>
      <x:c r="E888" s="13"/>
      <x:c r="F888" s="13"/>
      <x:c r="G888" s="13"/>
      <x:c r="H888" s="52"/>
      <x:c r="I888" s="13"/>
      <x:c r="J888" s="13"/>
    </x:row>
    <x:row r="889">
      <x:c r="A889" s="51"/>
      <x:c r="B889" s="13"/>
      <x:c r="C889" s="13"/>
      <x:c r="D889" s="13"/>
      <x:c r="E889" s="13"/>
      <x:c r="F889" s="13"/>
      <x:c r="G889" s="13"/>
      <x:c r="H889" s="52"/>
      <x:c r="I889" s="13"/>
      <x:c r="J889" s="13"/>
    </x:row>
    <x:row r="890">
      <x:c r="A890" s="51"/>
      <x:c r="B890" s="13"/>
      <x:c r="C890" s="13"/>
      <x:c r="D890" s="13"/>
      <x:c r="E890" s="13"/>
      <x:c r="F890" s="13"/>
      <x:c r="G890" s="13"/>
      <x:c r="H890" s="52"/>
      <x:c r="I890" s="13"/>
      <x:c r="J890" s="13"/>
    </x:row>
    <x:row r="891">
      <x:c r="A891" s="51"/>
      <x:c r="B891" s="13"/>
      <x:c r="C891" s="13"/>
      <x:c r="D891" s="13"/>
      <x:c r="E891" s="13"/>
      <x:c r="F891" s="13"/>
      <x:c r="G891" s="13"/>
      <x:c r="H891" s="52"/>
      <x:c r="I891" s="13"/>
      <x:c r="J891" s="13"/>
    </x:row>
    <x:row r="892">
      <x:c r="A892" s="51"/>
      <x:c r="B892" s="13"/>
      <x:c r="C892" s="13"/>
      <x:c r="D892" s="13"/>
      <x:c r="E892" s="13"/>
      <x:c r="F892" s="13"/>
      <x:c r="G892" s="13"/>
      <x:c r="H892" s="52"/>
      <x:c r="I892" s="13"/>
      <x:c r="J892" s="13"/>
    </x:row>
    <x:row r="893">
      <x:c r="A893" s="51"/>
      <x:c r="B893" s="13"/>
      <x:c r="C893" s="13"/>
      <x:c r="D893" s="13"/>
      <x:c r="E893" s="13"/>
      <x:c r="F893" s="13"/>
      <x:c r="G893" s="13"/>
      <x:c r="H893" s="52"/>
      <x:c r="I893" s="13"/>
      <x:c r="J893" s="13"/>
    </x:row>
    <x:row r="894">
      <x:c r="A894" s="51"/>
      <x:c r="B894" s="13"/>
      <x:c r="C894" s="13"/>
      <x:c r="D894" s="13"/>
      <x:c r="E894" s="13"/>
      <x:c r="F894" s="13"/>
      <x:c r="G894" s="13"/>
      <x:c r="H894" s="52"/>
      <x:c r="I894" s="13"/>
      <x:c r="J894" s="13"/>
    </x:row>
    <x:row r="895">
      <x:c r="A895" s="51"/>
      <x:c r="B895" s="13"/>
      <x:c r="C895" s="13"/>
      <x:c r="D895" s="13"/>
      <x:c r="E895" s="13"/>
      <x:c r="F895" s="13"/>
      <x:c r="G895" s="13"/>
      <x:c r="H895" s="52"/>
      <x:c r="I895" s="13"/>
      <x:c r="J895" s="13"/>
    </x:row>
    <x:row r="896">
      <x:c r="A896" s="51"/>
      <x:c r="B896" s="13"/>
      <x:c r="C896" s="13"/>
      <x:c r="D896" s="13"/>
      <x:c r="E896" s="13"/>
      <x:c r="F896" s="13"/>
      <x:c r="G896" s="13"/>
      <x:c r="H896" s="52"/>
      <x:c r="I896" s="13"/>
      <x:c r="J896" s="13"/>
    </x:row>
    <x:row r="897">
      <x:c r="A897" s="51"/>
      <x:c r="B897" s="13"/>
      <x:c r="C897" s="13"/>
      <x:c r="D897" s="13"/>
      <x:c r="E897" s="13"/>
      <x:c r="F897" s="13"/>
      <x:c r="G897" s="13"/>
      <x:c r="H897" s="52"/>
      <x:c r="I897" s="13"/>
      <x:c r="J897" s="13"/>
    </x:row>
    <x:row r="898">
      <x:c r="A898" s="51"/>
      <x:c r="B898" s="13"/>
      <x:c r="C898" s="13"/>
      <x:c r="D898" s="13"/>
      <x:c r="E898" s="13"/>
      <x:c r="F898" s="13"/>
      <x:c r="G898" s="13"/>
      <x:c r="H898" s="52"/>
      <x:c r="I898" s="13"/>
      <x:c r="J898" s="13"/>
    </x:row>
    <x:row r="899">
      <x:c r="A899" s="51"/>
      <x:c r="B899" s="13"/>
      <x:c r="C899" s="13"/>
      <x:c r="D899" s="13"/>
      <x:c r="E899" s="13"/>
      <x:c r="F899" s="13"/>
      <x:c r="G899" s="13"/>
      <x:c r="H899" s="52"/>
      <x:c r="I899" s="13"/>
      <x:c r="J899" s="13"/>
    </x:row>
    <x:row r="900">
      <x:c r="A900" s="51"/>
      <x:c r="B900" s="13"/>
      <x:c r="C900" s="13"/>
      <x:c r="D900" s="13"/>
      <x:c r="E900" s="13"/>
      <x:c r="F900" s="13"/>
      <x:c r="G900" s="13"/>
      <x:c r="H900" s="52"/>
      <x:c r="I900" s="13"/>
      <x:c r="J900" s="13"/>
    </x:row>
    <x:row r="901">
      <x:c r="A901" s="51"/>
      <x:c r="B901" s="13"/>
      <x:c r="C901" s="13"/>
      <x:c r="D901" s="13"/>
      <x:c r="E901" s="13"/>
      <x:c r="F901" s="13"/>
      <x:c r="G901" s="13"/>
      <x:c r="H901" s="52"/>
      <x:c r="I901" s="13"/>
      <x:c r="J901" s="13"/>
    </x:row>
    <x:row r="902">
      <x:c r="A902" s="51"/>
      <x:c r="B902" s="13"/>
      <x:c r="C902" s="13"/>
      <x:c r="D902" s="13"/>
      <x:c r="E902" s="13"/>
      <x:c r="F902" s="13"/>
      <x:c r="G902" s="13"/>
      <x:c r="H902" s="52"/>
      <x:c r="I902" s="13"/>
      <x:c r="J902" s="13"/>
    </x:row>
    <x:row r="903">
      <x:c r="A903" s="51"/>
      <x:c r="B903" s="13"/>
      <x:c r="C903" s="13"/>
      <x:c r="D903" s="13"/>
      <x:c r="E903" s="13"/>
      <x:c r="F903" s="13"/>
      <x:c r="G903" s="13"/>
      <x:c r="H903" s="52"/>
      <x:c r="I903" s="13"/>
      <x:c r="J903" s="13"/>
    </x:row>
    <x:row r="904">
      <x:c r="A904" s="51"/>
      <x:c r="B904" s="13"/>
      <x:c r="C904" s="13"/>
      <x:c r="D904" s="13"/>
      <x:c r="E904" s="13"/>
      <x:c r="F904" s="13"/>
      <x:c r="G904" s="13"/>
      <x:c r="H904" s="52"/>
      <x:c r="I904" s="13"/>
      <x:c r="J904" s="13"/>
    </x:row>
    <x:row r="905">
      <x:c r="A905" s="51"/>
      <x:c r="B905" s="13"/>
      <x:c r="C905" s="13"/>
      <x:c r="D905" s="13"/>
      <x:c r="E905" s="13"/>
      <x:c r="F905" s="13"/>
      <x:c r="G905" s="13"/>
      <x:c r="H905" s="52"/>
      <x:c r="I905" s="13"/>
      <x:c r="J905" s="13"/>
    </x:row>
    <x:row r="906">
      <x:c r="A906" s="51"/>
      <x:c r="B906" s="13"/>
      <x:c r="C906" s="13"/>
      <x:c r="D906" s="13"/>
      <x:c r="E906" s="13"/>
      <x:c r="F906" s="13"/>
      <x:c r="G906" s="13"/>
      <x:c r="H906" s="52"/>
      <x:c r="I906" s="13"/>
      <x:c r="J906" s="13"/>
    </x:row>
    <x:row r="907">
      <x:c r="A907" s="51"/>
      <x:c r="B907" s="13"/>
      <x:c r="C907" s="13"/>
      <x:c r="D907" s="13"/>
      <x:c r="E907" s="13"/>
      <x:c r="F907" s="13"/>
      <x:c r="G907" s="13"/>
      <x:c r="H907" s="52"/>
      <x:c r="I907" s="13"/>
      <x:c r="J907" s="13"/>
    </x:row>
    <x:row r="908">
      <x:c r="A908" s="51"/>
      <x:c r="B908" s="13"/>
      <x:c r="C908" s="13"/>
      <x:c r="D908" s="13"/>
      <x:c r="E908" s="13"/>
      <x:c r="F908" s="13"/>
      <x:c r="G908" s="13"/>
      <x:c r="H908" s="52"/>
      <x:c r="I908" s="13"/>
      <x:c r="J908" s="13"/>
    </x:row>
    <x:row r="909">
      <x:c r="A909" s="51"/>
      <x:c r="B909" s="13"/>
      <x:c r="C909" s="13"/>
      <x:c r="D909" s="13"/>
      <x:c r="E909" s="13"/>
      <x:c r="F909" s="13"/>
      <x:c r="G909" s="13"/>
      <x:c r="H909" s="52"/>
      <x:c r="I909" s="13"/>
      <x:c r="J909" s="13"/>
    </x:row>
    <x:row r="910">
      <x:c r="A910" s="51"/>
      <x:c r="B910" s="13"/>
      <x:c r="C910" s="13"/>
      <x:c r="D910" s="13"/>
      <x:c r="E910" s="13"/>
      <x:c r="F910" s="13"/>
      <x:c r="G910" s="13"/>
      <x:c r="H910" s="52"/>
      <x:c r="I910" s="13"/>
      <x:c r="J910" s="13"/>
    </x:row>
    <x:row r="911">
      <x:c r="A911" s="51"/>
      <x:c r="B911" s="13"/>
      <x:c r="C911" s="13"/>
      <x:c r="D911" s="13"/>
      <x:c r="E911" s="13"/>
      <x:c r="F911" s="13"/>
      <x:c r="G911" s="13"/>
      <x:c r="H911" s="52"/>
      <x:c r="I911" s="13"/>
      <x:c r="J911" s="13"/>
    </x:row>
    <x:row r="912">
      <x:c r="A912" s="51"/>
      <x:c r="B912" s="13"/>
      <x:c r="C912" s="13"/>
      <x:c r="D912" s="13"/>
      <x:c r="E912" s="13"/>
      <x:c r="F912" s="13"/>
      <x:c r="G912" s="13"/>
      <x:c r="H912" s="52"/>
      <x:c r="I912" s="13"/>
      <x:c r="J912" s="13"/>
    </x:row>
    <x:row r="913">
      <x:c r="A913" s="51"/>
      <x:c r="B913" s="13"/>
      <x:c r="C913" s="13"/>
      <x:c r="D913" s="13"/>
      <x:c r="E913" s="13"/>
      <x:c r="F913" s="13"/>
      <x:c r="G913" s="13"/>
      <x:c r="H913" s="52"/>
      <x:c r="I913" s="13"/>
      <x:c r="J913" s="13"/>
    </x:row>
    <x:row r="914">
      <x:c r="A914" s="51"/>
      <x:c r="B914" s="13"/>
      <x:c r="C914" s="13"/>
      <x:c r="D914" s="13"/>
      <x:c r="E914" s="13"/>
      <x:c r="F914" s="13"/>
      <x:c r="G914" s="13"/>
      <x:c r="H914" s="52"/>
      <x:c r="I914" s="13"/>
      <x:c r="J914" s="13"/>
    </x:row>
    <x:row r="915">
      <x:c r="A915" s="51"/>
      <x:c r="B915" s="13"/>
      <x:c r="C915" s="13"/>
      <x:c r="D915" s="13"/>
      <x:c r="E915" s="13"/>
      <x:c r="F915" s="13"/>
      <x:c r="G915" s="13"/>
      <x:c r="H915" s="52"/>
      <x:c r="I915" s="13"/>
      <x:c r="J915" s="13"/>
    </x:row>
    <x:row r="916">
      <x:c r="A916" s="51"/>
      <x:c r="B916" s="13"/>
      <x:c r="C916" s="13"/>
      <x:c r="D916" s="13"/>
      <x:c r="E916" s="13"/>
      <x:c r="F916" s="13"/>
      <x:c r="G916" s="13"/>
      <x:c r="H916" s="52"/>
      <x:c r="I916" s="13"/>
      <x:c r="J916" s="13"/>
    </x:row>
    <x:row r="917">
      <x:c r="A917" s="51"/>
      <x:c r="B917" s="13"/>
      <x:c r="C917" s="13"/>
      <x:c r="D917" s="13"/>
      <x:c r="E917" s="13"/>
      <x:c r="F917" s="13"/>
      <x:c r="G917" s="13"/>
      <x:c r="H917" s="52"/>
      <x:c r="I917" s="13"/>
      <x:c r="J917" s="13"/>
    </x:row>
    <x:row r="918">
      <x:c r="A918" s="51"/>
      <x:c r="B918" s="13"/>
      <x:c r="C918" s="13"/>
      <x:c r="D918" s="13"/>
      <x:c r="E918" s="13"/>
      <x:c r="F918" s="13"/>
      <x:c r="G918" s="13"/>
      <x:c r="H918" s="52"/>
      <x:c r="I918" s="13"/>
      <x:c r="J918" s="13"/>
    </x:row>
    <x:row r="919">
      <x:c r="A919" s="51"/>
      <x:c r="B919" s="13"/>
      <x:c r="C919" s="13"/>
      <x:c r="D919" s="13"/>
      <x:c r="E919" s="13"/>
      <x:c r="F919" s="13"/>
      <x:c r="G919" s="13"/>
      <x:c r="H919" s="52"/>
      <x:c r="I919" s="13"/>
      <x:c r="J919" s="13"/>
    </x:row>
    <x:row r="920">
      <x:c r="A920" s="51"/>
      <x:c r="B920" s="13"/>
      <x:c r="C920" s="13"/>
      <x:c r="D920" s="13"/>
      <x:c r="E920" s="13"/>
      <x:c r="F920" s="13"/>
      <x:c r="G920" s="13"/>
      <x:c r="H920" s="52"/>
      <x:c r="I920" s="13"/>
      <x:c r="J920" s="13"/>
    </x:row>
    <x:row r="921">
      <x:c r="A921" s="51"/>
      <x:c r="B921" s="13"/>
      <x:c r="C921" s="13"/>
      <x:c r="D921" s="13"/>
      <x:c r="E921" s="13"/>
      <x:c r="F921" s="13"/>
      <x:c r="G921" s="13"/>
      <x:c r="H921" s="52"/>
      <x:c r="I921" s="13"/>
      <x:c r="J921" s="13"/>
    </x:row>
    <x:row r="922">
      <x:c r="A922" s="51"/>
      <x:c r="B922" s="13"/>
      <x:c r="C922" s="13"/>
      <x:c r="D922" s="13"/>
      <x:c r="E922" s="13"/>
      <x:c r="F922" s="13"/>
      <x:c r="G922" s="13"/>
      <x:c r="H922" s="52"/>
      <x:c r="I922" s="13"/>
      <x:c r="J922" s="13"/>
    </x:row>
    <x:row r="923">
      <x:c r="A923" s="51"/>
      <x:c r="B923" s="13"/>
      <x:c r="C923" s="13"/>
      <x:c r="D923" s="13"/>
      <x:c r="E923" s="13"/>
      <x:c r="F923" s="13"/>
      <x:c r="G923" s="13"/>
      <x:c r="H923" s="52"/>
      <x:c r="I923" s="13"/>
      <x:c r="J923" s="13"/>
    </x:row>
    <x:row r="924">
      <x:c r="A924" s="51"/>
      <x:c r="B924" s="13"/>
      <x:c r="C924" s="13"/>
      <x:c r="D924" s="13"/>
      <x:c r="E924" s="13"/>
      <x:c r="F924" s="13"/>
      <x:c r="G924" s="13"/>
      <x:c r="H924" s="52"/>
      <x:c r="I924" s="13"/>
      <x:c r="J924" s="13"/>
    </x:row>
    <x:row r="925">
      <x:c r="A925" s="51"/>
      <x:c r="B925" s="13"/>
      <x:c r="C925" s="13"/>
      <x:c r="D925" s="13"/>
      <x:c r="E925" s="13"/>
      <x:c r="F925" s="13"/>
      <x:c r="G925" s="13"/>
      <x:c r="H925" s="52"/>
      <x:c r="I925" s="13"/>
      <x:c r="J925" s="13"/>
    </x:row>
    <x:row r="926">
      <x:c r="A926" s="51"/>
      <x:c r="B926" s="13"/>
      <x:c r="C926" s="13"/>
      <x:c r="D926" s="13"/>
      <x:c r="E926" s="13"/>
      <x:c r="F926" s="13"/>
      <x:c r="G926" s="13"/>
      <x:c r="H926" s="52"/>
      <x:c r="I926" s="13"/>
      <x:c r="J926" s="13"/>
    </x:row>
    <x:row r="927">
      <x:c r="A927" s="51"/>
      <x:c r="B927" s="13"/>
      <x:c r="C927" s="13"/>
      <x:c r="D927" s="13"/>
      <x:c r="E927" s="13"/>
      <x:c r="F927" s="13"/>
      <x:c r="G927" s="13"/>
      <x:c r="H927" s="52"/>
      <x:c r="I927" s="13"/>
      <x:c r="J927" s="13"/>
    </x:row>
    <x:row r="928">
      <x:c r="A928" s="51"/>
      <x:c r="B928" s="13"/>
      <x:c r="C928" s="13"/>
      <x:c r="D928" s="13"/>
      <x:c r="E928" s="13"/>
      <x:c r="F928" s="13"/>
      <x:c r="G928" s="13"/>
      <x:c r="H928" s="52"/>
      <x:c r="I928" s="13"/>
      <x:c r="J928" s="13"/>
    </x:row>
    <x:row r="929">
      <x:c r="A929" s="51"/>
      <x:c r="B929" s="13"/>
      <x:c r="C929" s="13"/>
      <x:c r="D929" s="13"/>
      <x:c r="E929" s="13"/>
      <x:c r="F929" s="13"/>
      <x:c r="G929" s="13"/>
      <x:c r="H929" s="52"/>
      <x:c r="I929" s="13"/>
      <x:c r="J929" s="13"/>
    </x:row>
    <x:row r="930">
      <x:c r="A930" s="51"/>
      <x:c r="B930" s="13"/>
      <x:c r="C930" s="13"/>
      <x:c r="D930" s="13"/>
      <x:c r="E930" s="13"/>
      <x:c r="F930" s="13"/>
      <x:c r="G930" s="13"/>
      <x:c r="H930" s="52"/>
      <x:c r="I930" s="13"/>
      <x:c r="J930" s="13"/>
    </x:row>
    <x:row r="931">
      <x:c r="A931" s="51"/>
      <x:c r="B931" s="13"/>
      <x:c r="C931" s="13"/>
      <x:c r="D931" s="13"/>
      <x:c r="E931" s="13"/>
      <x:c r="F931" s="13"/>
      <x:c r="G931" s="13"/>
      <x:c r="H931" s="52"/>
      <x:c r="I931" s="13"/>
      <x:c r="J931" s="13"/>
    </x:row>
    <x:row r="932">
      <x:c r="A932" s="51"/>
      <x:c r="B932" s="13"/>
      <x:c r="C932" s="13"/>
      <x:c r="D932" s="13"/>
      <x:c r="E932" s="13"/>
      <x:c r="F932" s="13"/>
      <x:c r="G932" s="13"/>
      <x:c r="H932" s="52"/>
      <x:c r="I932" s="13"/>
      <x:c r="J932" s="13"/>
    </x:row>
    <x:row r="933">
      <x:c r="A933" s="51"/>
      <x:c r="B933" s="13"/>
      <x:c r="C933" s="13"/>
      <x:c r="D933" s="13"/>
      <x:c r="E933" s="13"/>
      <x:c r="F933" s="13"/>
      <x:c r="G933" s="13"/>
      <x:c r="H933" s="52"/>
      <x:c r="I933" s="13"/>
      <x:c r="J933" s="13"/>
    </x:row>
    <x:row r="934">
      <x:c r="A934" s="51"/>
      <x:c r="B934" s="13"/>
      <x:c r="C934" s="13"/>
      <x:c r="D934" s="13"/>
      <x:c r="E934" s="13"/>
      <x:c r="F934" s="13"/>
      <x:c r="G934" s="13"/>
      <x:c r="H934" s="52"/>
      <x:c r="I934" s="13"/>
      <x:c r="J934" s="13"/>
    </x:row>
    <x:row r="935">
      <x:c r="A935" s="51"/>
      <x:c r="B935" s="13"/>
      <x:c r="C935" s="13"/>
      <x:c r="D935" s="13"/>
      <x:c r="E935" s="13"/>
      <x:c r="F935" s="13"/>
      <x:c r="G935" s="13"/>
      <x:c r="H935" s="52"/>
      <x:c r="I935" s="13"/>
      <x:c r="J935" s="13"/>
    </x:row>
    <x:row r="936">
      <x:c r="A936" s="51"/>
      <x:c r="B936" s="13"/>
      <x:c r="C936" s="13"/>
      <x:c r="D936" s="13"/>
      <x:c r="E936" s="13"/>
      <x:c r="F936" s="13"/>
      <x:c r="G936" s="13"/>
      <x:c r="H936" s="52"/>
      <x:c r="I936" s="13"/>
      <x:c r="J936" s="13"/>
    </x:row>
    <x:row r="937">
      <x:c r="A937" s="51"/>
      <x:c r="B937" s="13"/>
      <x:c r="C937" s="13"/>
      <x:c r="D937" s="13"/>
      <x:c r="E937" s="13"/>
      <x:c r="F937" s="13"/>
      <x:c r="G937" s="13"/>
      <x:c r="H937" s="52"/>
      <x:c r="I937" s="13"/>
      <x:c r="J937" s="13"/>
    </x:row>
    <x:row r="938">
      <x:c r="A938" s="51"/>
      <x:c r="B938" s="13"/>
      <x:c r="C938" s="13"/>
      <x:c r="D938" s="13"/>
      <x:c r="E938" s="13"/>
      <x:c r="F938" s="13"/>
      <x:c r="G938" s="13"/>
      <x:c r="H938" s="52"/>
      <x:c r="I938" s="13"/>
      <x:c r="J938" s="13"/>
    </x:row>
    <x:row r="939">
      <x:c r="A939" s="51"/>
      <x:c r="B939" s="13"/>
      <x:c r="C939" s="13"/>
      <x:c r="D939" s="13"/>
      <x:c r="E939" s="13"/>
      <x:c r="F939" s="13"/>
      <x:c r="G939" s="13"/>
      <x:c r="H939" s="52"/>
      <x:c r="I939" s="13"/>
      <x:c r="J939" s="13"/>
    </x:row>
    <x:row r="940">
      <x:c r="A940" s="51"/>
      <x:c r="B940" s="13"/>
      <x:c r="C940" s="13"/>
      <x:c r="D940" s="13"/>
      <x:c r="E940" s="13"/>
      <x:c r="F940" s="13"/>
      <x:c r="G940" s="13"/>
      <x:c r="H940" s="52"/>
      <x:c r="I940" s="13"/>
      <x:c r="J940" s="13"/>
    </x:row>
    <x:row r="941">
      <x:c r="A941" s="51"/>
      <x:c r="B941" s="13"/>
      <x:c r="C941" s="13"/>
      <x:c r="D941" s="13"/>
      <x:c r="E941" s="13"/>
      <x:c r="F941" s="13"/>
      <x:c r="G941" s="13"/>
      <x:c r="H941" s="52"/>
      <x:c r="I941" s="13"/>
      <x:c r="J941" s="13"/>
    </x:row>
    <x:row r="942">
      <x:c r="A942" s="51"/>
      <x:c r="B942" s="13"/>
      <x:c r="C942" s="13"/>
      <x:c r="D942" s="13"/>
      <x:c r="E942" s="13"/>
      <x:c r="F942" s="13"/>
      <x:c r="G942" s="13"/>
      <x:c r="H942" s="52"/>
      <x:c r="I942" s="13"/>
      <x:c r="J942" s="13"/>
    </x:row>
    <x:row r="943">
      <x:c r="A943" s="51"/>
      <x:c r="B943" s="13"/>
      <x:c r="C943" s="13"/>
      <x:c r="D943" s="13"/>
      <x:c r="E943" s="13"/>
      <x:c r="F943" s="13"/>
      <x:c r="G943" s="13"/>
      <x:c r="H943" s="52"/>
      <x:c r="I943" s="13"/>
      <x:c r="J943" s="13"/>
    </x:row>
    <x:row r="944">
      <x:c r="A944" s="51"/>
      <x:c r="B944" s="13"/>
      <x:c r="C944" s="13"/>
      <x:c r="D944" s="13"/>
      <x:c r="E944" s="13"/>
      <x:c r="F944" s="13"/>
      <x:c r="G944" s="13"/>
      <x:c r="H944" s="52"/>
      <x:c r="I944" s="13"/>
      <x:c r="J944" s="13"/>
    </x:row>
    <x:row r="945">
      <x:c r="A945" s="51"/>
      <x:c r="B945" s="13"/>
      <x:c r="C945" s="13"/>
      <x:c r="D945" s="13"/>
      <x:c r="E945" s="13"/>
      <x:c r="F945" s="13"/>
      <x:c r="G945" s="13"/>
      <x:c r="H945" s="52"/>
      <x:c r="I945" s="13"/>
      <x:c r="J945" s="13"/>
    </x:row>
    <x:row r="946">
      <x:c r="A946" s="51"/>
      <x:c r="B946" s="13"/>
      <x:c r="C946" s="13"/>
      <x:c r="D946" s="13"/>
      <x:c r="E946" s="13"/>
      <x:c r="F946" s="13"/>
      <x:c r="G946" s="13"/>
      <x:c r="H946" s="52"/>
      <x:c r="I946" s="13"/>
      <x:c r="J946" s="13"/>
    </x:row>
    <x:row r="947">
      <x:c r="A947" s="51"/>
      <x:c r="B947" s="13"/>
      <x:c r="C947" s="13"/>
      <x:c r="D947" s="13"/>
      <x:c r="E947" s="13"/>
      <x:c r="F947" s="13"/>
      <x:c r="G947" s="13"/>
      <x:c r="H947" s="52"/>
      <x:c r="I947" s="13"/>
      <x:c r="J947" s="13"/>
    </x:row>
    <x:row r="948">
      <x:c r="A948" s="51"/>
      <x:c r="B948" s="13"/>
      <x:c r="C948" s="13"/>
      <x:c r="D948" s="13"/>
      <x:c r="E948" s="13"/>
      <x:c r="F948" s="13"/>
      <x:c r="G948" s="13"/>
      <x:c r="H948" s="52"/>
      <x:c r="I948" s="13"/>
      <x:c r="J948" s="13"/>
    </x:row>
    <x:row r="949">
      <x:c r="A949" s="51"/>
      <x:c r="B949" s="13"/>
      <x:c r="C949" s="13"/>
      <x:c r="D949" s="13"/>
      <x:c r="E949" s="13"/>
      <x:c r="F949" s="13"/>
      <x:c r="G949" s="13"/>
      <x:c r="H949" s="52"/>
      <x:c r="I949" s="13"/>
      <x:c r="J949" s="13"/>
    </x:row>
    <x:row r="950">
      <x:c r="A950" s="51"/>
      <x:c r="B950" s="13"/>
      <x:c r="C950" s="13"/>
      <x:c r="D950" s="13"/>
      <x:c r="E950" s="13"/>
      <x:c r="F950" s="13"/>
      <x:c r="G950" s="13"/>
      <x:c r="H950" s="52"/>
      <x:c r="I950" s="13"/>
      <x:c r="J950" s="13"/>
    </x:row>
    <x:row r="951">
      <x:c r="A951" s="51"/>
      <x:c r="B951" s="13"/>
      <x:c r="C951" s="13"/>
      <x:c r="D951" s="13"/>
      <x:c r="E951" s="13"/>
      <x:c r="F951" s="13"/>
      <x:c r="G951" s="13"/>
      <x:c r="H951" s="52"/>
      <x:c r="I951" s="13"/>
      <x:c r="J951" s="13"/>
    </x:row>
    <x:row r="952">
      <x:c r="A952" s="51"/>
      <x:c r="B952" s="13"/>
      <x:c r="C952" s="13"/>
      <x:c r="D952" s="13"/>
      <x:c r="E952" s="13"/>
      <x:c r="F952" s="13"/>
      <x:c r="G952" s="13"/>
      <x:c r="H952" s="52"/>
      <x:c r="I952" s="13"/>
      <x:c r="J952" s="13"/>
    </x:row>
    <x:row r="953">
      <x:c r="A953" s="51"/>
      <x:c r="B953" s="13"/>
      <x:c r="C953" s="13"/>
      <x:c r="D953" s="13"/>
      <x:c r="E953" s="13"/>
      <x:c r="F953" s="13"/>
      <x:c r="G953" s="13"/>
      <x:c r="H953" s="52"/>
      <x:c r="I953" s="13"/>
      <x:c r="J953" s="13"/>
    </x:row>
    <x:row r="954">
      <x:c r="A954" s="51"/>
      <x:c r="B954" s="13"/>
      <x:c r="C954" s="13"/>
      <x:c r="D954" s="13"/>
      <x:c r="E954" s="13"/>
      <x:c r="F954" s="13"/>
      <x:c r="G954" s="13"/>
      <x:c r="H954" s="52"/>
      <x:c r="I954" s="13"/>
      <x:c r="J954" s="13"/>
    </x:row>
    <x:row r="955">
      <x:c r="A955" s="51"/>
      <x:c r="B955" s="13"/>
      <x:c r="C955" s="13"/>
      <x:c r="D955" s="13"/>
      <x:c r="E955" s="13"/>
      <x:c r="F955" s="13"/>
      <x:c r="G955" s="13"/>
      <x:c r="H955" s="52"/>
      <x:c r="I955" s="13"/>
      <x:c r="J955" s="13"/>
    </x:row>
    <x:row r="956">
      <x:c r="A956" s="51"/>
      <x:c r="B956" s="13"/>
      <x:c r="C956" s="13"/>
      <x:c r="D956" s="13"/>
      <x:c r="E956" s="13"/>
      <x:c r="F956" s="13"/>
      <x:c r="G956" s="13"/>
      <x:c r="H956" s="52"/>
      <x:c r="I956" s="13"/>
      <x:c r="J956" s="13"/>
    </x:row>
    <x:row r="957">
      <x:c r="A957" s="51"/>
      <x:c r="B957" s="13"/>
      <x:c r="C957" s="13"/>
      <x:c r="D957" s="13"/>
      <x:c r="E957" s="13"/>
      <x:c r="F957" s="13"/>
      <x:c r="G957" s="13"/>
      <x:c r="H957" s="52"/>
      <x:c r="I957" s="13"/>
      <x:c r="J957" s="13"/>
    </x:row>
    <x:row r="958">
      <x:c r="A958" s="51"/>
      <x:c r="B958" s="13"/>
      <x:c r="C958" s="13"/>
      <x:c r="D958" s="13"/>
      <x:c r="E958" s="13"/>
      <x:c r="F958" s="13"/>
      <x:c r="G958" s="13"/>
      <x:c r="H958" s="52"/>
      <x:c r="I958" s="13"/>
      <x:c r="J958" s="13"/>
    </x:row>
    <x:row r="959">
      <x:c r="A959" s="51"/>
      <x:c r="B959" s="13"/>
      <x:c r="C959" s="13"/>
      <x:c r="D959" s="13"/>
      <x:c r="E959" s="13"/>
      <x:c r="F959" s="13"/>
      <x:c r="G959" s="13"/>
      <x:c r="H959" s="52"/>
      <x:c r="I959" s="13"/>
      <x:c r="J959" s="13"/>
    </x:row>
    <x:row r="960">
      <x:c r="A960" s="51"/>
      <x:c r="B960" s="13"/>
      <x:c r="C960" s="13"/>
      <x:c r="D960" s="13"/>
      <x:c r="E960" s="13"/>
      <x:c r="F960" s="13"/>
      <x:c r="G960" s="13"/>
      <x:c r="H960" s="52"/>
      <x:c r="I960" s="13"/>
      <x:c r="J960" s="13"/>
    </x:row>
    <x:row r="961">
      <x:c r="A961" s="51"/>
      <x:c r="B961" s="13"/>
      <x:c r="C961" s="13"/>
      <x:c r="D961" s="13"/>
      <x:c r="E961" s="13"/>
      <x:c r="F961" s="13"/>
      <x:c r="G961" s="13"/>
      <x:c r="H961" s="52"/>
      <x:c r="I961" s="13"/>
      <x:c r="J961" s="13"/>
    </x:row>
    <x:row r="962">
      <x:c r="A962" s="51"/>
      <x:c r="B962" s="13"/>
      <x:c r="C962" s="13"/>
      <x:c r="D962" s="13"/>
      <x:c r="E962" s="13"/>
      <x:c r="F962" s="13"/>
      <x:c r="G962" s="13"/>
      <x:c r="H962" s="52"/>
      <x:c r="I962" s="13"/>
      <x:c r="J962" s="13"/>
    </x:row>
    <x:row r="963">
      <x:c r="A963" s="51"/>
      <x:c r="B963" s="13"/>
      <x:c r="C963" s="13"/>
      <x:c r="D963" s="13"/>
      <x:c r="E963" s="13"/>
      <x:c r="F963" s="13"/>
      <x:c r="G963" s="13"/>
      <x:c r="H963" s="52"/>
      <x:c r="I963" s="13"/>
      <x:c r="J963" s="13"/>
    </x:row>
    <x:row r="964">
      <x:c r="A964" s="51"/>
      <x:c r="B964" s="13"/>
      <x:c r="C964" s="13"/>
      <x:c r="D964" s="13"/>
      <x:c r="E964" s="13"/>
      <x:c r="F964" s="13"/>
      <x:c r="G964" s="13"/>
      <x:c r="H964" s="52"/>
      <x:c r="I964" s="13"/>
      <x:c r="J964" s="13"/>
    </x:row>
    <x:row r="965">
      <x:c r="A965" s="51"/>
      <x:c r="B965" s="13"/>
      <x:c r="C965" s="13"/>
      <x:c r="D965" s="13"/>
      <x:c r="E965" s="13"/>
      <x:c r="F965" s="13"/>
      <x:c r="G965" s="13"/>
      <x:c r="H965" s="52"/>
      <x:c r="I965" s="13"/>
      <x:c r="J965" s="13"/>
    </x:row>
    <x:row r="966">
      <x:c r="A966" s="51"/>
      <x:c r="B966" s="13"/>
      <x:c r="C966" s="13"/>
      <x:c r="D966" s="13"/>
      <x:c r="E966" s="13"/>
      <x:c r="F966" s="13"/>
      <x:c r="G966" s="13"/>
      <x:c r="H966" s="52"/>
      <x:c r="I966" s="13"/>
      <x:c r="J966" s="13"/>
    </x:row>
    <x:row r="967">
      <x:c r="A967" s="51"/>
      <x:c r="B967" s="13"/>
      <x:c r="C967" s="13"/>
      <x:c r="D967" s="13"/>
      <x:c r="E967" s="13"/>
      <x:c r="F967" s="13"/>
      <x:c r="G967" s="13"/>
      <x:c r="H967" s="52"/>
      <x:c r="I967" s="13"/>
      <x:c r="J967" s="13"/>
    </x:row>
    <x:row r="968">
      <x:c r="A968" s="51"/>
      <x:c r="B968" s="13"/>
      <x:c r="C968" s="13"/>
      <x:c r="D968" s="13"/>
      <x:c r="E968" s="13"/>
      <x:c r="F968" s="13"/>
      <x:c r="G968" s="13"/>
      <x:c r="H968" s="52"/>
      <x:c r="I968" s="13"/>
      <x:c r="J968" s="13"/>
    </x:row>
    <x:row r="969">
      <x:c r="A969" s="51"/>
      <x:c r="B969" s="13"/>
      <x:c r="C969" s="13"/>
      <x:c r="D969" s="13"/>
      <x:c r="E969" s="13"/>
      <x:c r="F969" s="13"/>
      <x:c r="G969" s="13"/>
      <x:c r="H969" s="52"/>
      <x:c r="I969" s="13"/>
      <x:c r="J969" s="13"/>
    </x:row>
    <x:row r="970">
      <x:c r="A970" s="51"/>
      <x:c r="B970" s="13"/>
      <x:c r="C970" s="13"/>
      <x:c r="D970" s="13"/>
      <x:c r="E970" s="13"/>
      <x:c r="F970" s="13"/>
      <x:c r="G970" s="13"/>
      <x:c r="H970" s="52"/>
      <x:c r="I970" s="13"/>
      <x:c r="J970" s="13"/>
    </x:row>
    <x:row r="971">
      <x:c r="A971" s="51"/>
      <x:c r="B971" s="13"/>
      <x:c r="C971" s="13"/>
      <x:c r="D971" s="13"/>
      <x:c r="E971" s="13"/>
      <x:c r="F971" s="13"/>
      <x:c r="G971" s="13"/>
      <x:c r="H971" s="52"/>
      <x:c r="I971" s="13"/>
      <x:c r="J971" s="13"/>
    </x:row>
    <x:row r="972">
      <x:c r="A972" s="51"/>
      <x:c r="B972" s="13"/>
      <x:c r="C972" s="13"/>
      <x:c r="D972" s="13"/>
      <x:c r="E972" s="13"/>
      <x:c r="F972" s="13"/>
      <x:c r="G972" s="13"/>
      <x:c r="H972" s="52"/>
      <x:c r="I972" s="13"/>
      <x:c r="J972" s="13"/>
    </x:row>
    <x:row r="973">
      <x:c r="A973" s="51"/>
      <x:c r="B973" s="13"/>
      <x:c r="C973" s="13"/>
      <x:c r="D973" s="13"/>
      <x:c r="E973" s="13"/>
      <x:c r="F973" s="13"/>
      <x:c r="G973" s="13"/>
      <x:c r="H973" s="52"/>
      <x:c r="I973" s="13"/>
      <x:c r="J973" s="13"/>
    </x:row>
    <x:row r="974">
      <x:c r="A974" s="51"/>
      <x:c r="B974" s="13"/>
      <x:c r="C974" s="13"/>
      <x:c r="D974" s="13"/>
      <x:c r="E974" s="13"/>
      <x:c r="F974" s="13"/>
      <x:c r="G974" s="13"/>
      <x:c r="H974" s="52"/>
      <x:c r="I974" s="13"/>
      <x:c r="J974" s="13"/>
    </x:row>
    <x:row r="975">
      <x:c r="A975" s="51"/>
      <x:c r="B975" s="13"/>
      <x:c r="C975" s="13"/>
      <x:c r="D975" s="13"/>
      <x:c r="E975" s="13"/>
      <x:c r="F975" s="13"/>
      <x:c r="G975" s="13"/>
      <x:c r="H975" s="52"/>
      <x:c r="I975" s="13"/>
      <x:c r="J975" s="13"/>
    </x:row>
    <x:row r="976">
      <x:c r="A976" s="51"/>
      <x:c r="B976" s="13"/>
      <x:c r="C976" s="13"/>
      <x:c r="D976" s="13"/>
      <x:c r="E976" s="13"/>
      <x:c r="F976" s="13"/>
      <x:c r="G976" s="13"/>
      <x:c r="H976" s="52"/>
      <x:c r="I976" s="13"/>
      <x:c r="J976" s="13"/>
    </x:row>
    <x:row r="977">
      <x:c r="A977" s="51"/>
      <x:c r="B977" s="13"/>
      <x:c r="C977" s="13"/>
      <x:c r="D977" s="13"/>
      <x:c r="E977" s="13"/>
      <x:c r="F977" s="13"/>
      <x:c r="G977" s="13"/>
      <x:c r="H977" s="52"/>
      <x:c r="I977" s="13"/>
      <x:c r="J977" s="13"/>
    </x:row>
    <x:row r="978">
      <x:c r="A978" s="51"/>
      <x:c r="B978" s="13"/>
      <x:c r="C978" s="13"/>
      <x:c r="D978" s="13"/>
      <x:c r="E978" s="13"/>
      <x:c r="F978" s="13"/>
      <x:c r="G978" s="13"/>
      <x:c r="H978" s="52"/>
      <x:c r="I978" s="13"/>
      <x:c r="J978" s="13"/>
    </x:row>
    <x:row r="979">
      <x:c r="A979" s="51"/>
      <x:c r="B979" s="13"/>
      <x:c r="C979" s="13"/>
      <x:c r="D979" s="13"/>
      <x:c r="E979" s="13"/>
      <x:c r="F979" s="13"/>
      <x:c r="G979" s="13"/>
      <x:c r="H979" s="52"/>
      <x:c r="I979" s="13"/>
      <x:c r="J979" s="13"/>
    </x:row>
    <x:row r="980">
      <x:c r="A980" s="51"/>
      <x:c r="B980" s="13"/>
      <x:c r="C980" s="13"/>
      <x:c r="D980" s="13"/>
      <x:c r="E980" s="13"/>
      <x:c r="F980" s="13"/>
      <x:c r="G980" s="13"/>
      <x:c r="H980" s="52"/>
      <x:c r="I980" s="13"/>
      <x:c r="J980" s="13"/>
    </x:row>
    <x:row r="981">
      <x:c r="A981" s="51"/>
      <x:c r="B981" s="13"/>
      <x:c r="C981" s="13"/>
      <x:c r="D981" s="13"/>
      <x:c r="E981" s="13"/>
      <x:c r="F981" s="13"/>
      <x:c r="G981" s="13"/>
      <x:c r="H981" s="52"/>
      <x:c r="I981" s="13"/>
      <x:c r="J981" s="13"/>
    </x:row>
    <x:row r="982">
      <x:c r="A982" s="51"/>
      <x:c r="B982" s="13"/>
      <x:c r="C982" s="13"/>
      <x:c r="D982" s="13"/>
      <x:c r="E982" s="13"/>
      <x:c r="F982" s="13"/>
      <x:c r="G982" s="13"/>
      <x:c r="H982" s="52"/>
      <x:c r="I982" s="13"/>
      <x:c r="J982" s="13"/>
    </x:row>
    <x:row r="983">
      <x:c r="A983" s="51"/>
      <x:c r="B983" s="13"/>
      <x:c r="C983" s="13"/>
      <x:c r="D983" s="13"/>
      <x:c r="E983" s="13"/>
      <x:c r="F983" s="13"/>
      <x:c r="G983" s="13"/>
      <x:c r="H983" s="52"/>
      <x:c r="I983" s="13"/>
      <x:c r="J983" s="13"/>
    </x:row>
    <x:row r="984">
      <x:c r="A984" s="51"/>
      <x:c r="B984" s="13"/>
      <x:c r="C984" s="13"/>
      <x:c r="D984" s="13"/>
      <x:c r="E984" s="13"/>
      <x:c r="F984" s="13"/>
      <x:c r="G984" s="13"/>
      <x:c r="H984" s="52"/>
      <x:c r="I984" s="13"/>
      <x:c r="J984" s="13"/>
    </x:row>
    <x:row r="985">
      <x:c r="A985" s="51"/>
      <x:c r="B985" s="13"/>
      <x:c r="C985" s="13"/>
      <x:c r="D985" s="13"/>
      <x:c r="E985" s="13"/>
      <x:c r="F985" s="13"/>
      <x:c r="G985" s="13"/>
      <x:c r="H985" s="52"/>
      <x:c r="I985" s="13"/>
      <x:c r="J985" s="13"/>
    </x:row>
    <x:row r="986">
      <x:c r="A986" s="51"/>
      <x:c r="B986" s="13"/>
      <x:c r="C986" s="13"/>
      <x:c r="D986" s="13"/>
      <x:c r="E986" s="13"/>
      <x:c r="F986" s="13"/>
      <x:c r="G986" s="13"/>
      <x:c r="H986" s="52"/>
      <x:c r="I986" s="13"/>
      <x:c r="J986" s="13"/>
    </x:row>
    <x:row r="987">
      <x:c r="A987" s="51"/>
      <x:c r="B987" s="13"/>
      <x:c r="C987" s="13"/>
      <x:c r="D987" s="13"/>
      <x:c r="E987" s="13"/>
      <x:c r="F987" s="13"/>
      <x:c r="G987" s="13"/>
      <x:c r="H987" s="52"/>
      <x:c r="I987" s="13"/>
      <x:c r="J987" s="13"/>
    </x:row>
    <x:row r="988">
      <x:c r="A988" s="51"/>
      <x:c r="B988" s="13"/>
      <x:c r="C988" s="13"/>
      <x:c r="D988" s="13"/>
      <x:c r="E988" s="13"/>
      <x:c r="F988" s="13"/>
      <x:c r="G988" s="13"/>
      <x:c r="H988" s="52"/>
      <x:c r="I988" s="13"/>
      <x:c r="J988" s="13"/>
    </x:row>
    <x:row r="989">
      <x:c r="A989" s="51"/>
      <x:c r="B989" s="13"/>
      <x:c r="C989" s="13"/>
      <x:c r="D989" s="13"/>
      <x:c r="E989" s="13"/>
      <x:c r="F989" s="13"/>
      <x:c r="G989" s="13"/>
      <x:c r="H989" s="52"/>
      <x:c r="I989" s="13"/>
      <x:c r="J989" s="13"/>
    </x:row>
    <x:row r="990">
      <x:c r="A990" s="51"/>
      <x:c r="B990" s="13"/>
      <x:c r="C990" s="13"/>
      <x:c r="D990" s="13"/>
      <x:c r="E990" s="13"/>
      <x:c r="F990" s="13"/>
      <x:c r="G990" s="13"/>
      <x:c r="H990" s="52"/>
      <x:c r="I990" s="13"/>
      <x:c r="J990" s="13"/>
    </x:row>
    <x:row r="991">
      <x:c r="A991" s="51"/>
      <x:c r="B991" s="13"/>
      <x:c r="C991" s="13"/>
      <x:c r="D991" s="13"/>
      <x:c r="E991" s="13"/>
      <x:c r="F991" s="13"/>
      <x:c r="G991" s="13"/>
      <x:c r="H991" s="52"/>
      <x:c r="I991" s="13"/>
      <x:c r="J991" s="13"/>
    </x:row>
    <x:row r="992">
      <x:c r="A992" s="51"/>
      <x:c r="B992" s="13"/>
      <x:c r="C992" s="13"/>
      <x:c r="D992" s="13"/>
      <x:c r="E992" s="13"/>
      <x:c r="F992" s="13"/>
      <x:c r="G992" s="13"/>
      <x:c r="H992" s="52"/>
      <x:c r="I992" s="13"/>
      <x:c r="J992" s="13"/>
    </x:row>
    <x:row r="993">
      <x:c r="A993" s="51"/>
      <x:c r="B993" s="13"/>
      <x:c r="C993" s="13"/>
      <x:c r="D993" s="13"/>
      <x:c r="E993" s="13"/>
      <x:c r="F993" s="13"/>
      <x:c r="G993" s="13"/>
      <x:c r="H993" s="52"/>
      <x:c r="I993" s="13"/>
      <x:c r="J993" s="13"/>
    </x:row>
    <x:row r="994">
      <x:c r="A994" s="51"/>
      <x:c r="B994" s="13"/>
      <x:c r="C994" s="13"/>
      <x:c r="D994" s="13"/>
      <x:c r="E994" s="13"/>
      <x:c r="F994" s="13"/>
      <x:c r="G994" s="13"/>
      <x:c r="H994" s="52"/>
      <x:c r="I994" s="13"/>
      <x:c r="J994" s="13"/>
    </x:row>
    <x:row r="995">
      <x:c r="A995" s="51"/>
      <x:c r="B995" s="13"/>
      <x:c r="C995" s="13"/>
      <x:c r="D995" s="13"/>
      <x:c r="E995" s="13"/>
      <x:c r="F995" s="13"/>
      <x:c r="G995" s="13"/>
      <x:c r="H995" s="52"/>
      <x:c r="I995" s="13"/>
      <x:c r="J995" s="13"/>
    </x:row>
    <x:row r="996">
      <x:c r="A996" s="51"/>
      <x:c r="B996" s="13"/>
      <x:c r="C996" s="13"/>
      <x:c r="D996" s="13"/>
      <x:c r="E996" s="13"/>
      <x:c r="F996" s="13"/>
      <x:c r="G996" s="13"/>
      <x:c r="H996" s="52"/>
      <x:c r="I996" s="13"/>
      <x:c r="J996" s="13"/>
    </x:row>
    <x:row r="997">
      <x:c r="A997" s="51"/>
      <x:c r="B997" s="13"/>
      <x:c r="C997" s="13"/>
      <x:c r="D997" s="13"/>
      <x:c r="E997" s="13"/>
      <x:c r="F997" s="13"/>
      <x:c r="G997" s="13"/>
      <x:c r="H997" s="52"/>
      <x:c r="I997" s="13"/>
      <x:c r="J997" s="13"/>
    </x:row>
    <x:row r="998">
      <x:c r="A998" s="51"/>
      <x:c r="B998" s="13"/>
      <x:c r="C998" s="13"/>
      <x:c r="D998" s="13"/>
      <x:c r="E998" s="13"/>
      <x:c r="F998" s="13"/>
      <x:c r="G998" s="13"/>
      <x:c r="H998" s="52"/>
      <x:c r="I998" s="13"/>
      <x:c r="J998" s="13"/>
    </x:row>
    <x:row r="999">
      <x:c r="A999" s="51"/>
      <x:c r="B999" s="13"/>
      <x:c r="C999" s="13"/>
      <x:c r="D999" s="13"/>
      <x:c r="E999" s="13"/>
      <x:c r="F999" s="13"/>
      <x:c r="G999" s="13"/>
      <x:c r="H999" s="52"/>
      <x:c r="I999" s="13"/>
      <x:c r="J999" s="13"/>
    </x:row>
    <x:row r="1000">
      <x:c r="A1000" s="51"/>
      <x:c r="B1000" s="13"/>
      <x:c r="C1000" s="13"/>
      <x:c r="D1000" s="13"/>
      <x:c r="E1000" s="13"/>
      <x:c r="F1000" s="13"/>
      <x:c r="G1000" s="13"/>
      <x:c r="H1000" s="52"/>
      <x:c r="I1000" s="13"/>
      <x:c r="J1000" s="13"/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c5ae54d0377840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22" hidden="0" customWidth="1"/>
    <x:col min="7" max="7" width="42" hidden="0" customWidth="1"/>
    <x:col min="8" max="8" width="8" hidden="0" customWidth="1"/>
  </x:cols>
  <x:sheetData>
    <x:row r="1" ht="34" customHeight="1">
      <x:c r="A1" s="3" t="str">
        <x:v>Administrative Lists and Controlled Values</x:v>
      </x:c>
      <x:c r="B1" s="3" t="str">
        <x:v>Administrative Lists and Controlled Values</x:v>
      </x:c>
      <x:c r="C1" s="3" t="str">
        <x:v>Administrative Lists and Controlled Values</x:v>
      </x:c>
      <x:c r="D1" s="3" t="str">
        <x:v>Administrative Lists and Controlled Values</x:v>
      </x:c>
      <x:c r="E1" s="3" t="str">
        <x:v>Administrative Lists and Controlled Values</x:v>
      </x:c>
      <x:c r="F1" s="3" t="str">
        <x:v>Administrative Lists and Controlled Values</x:v>
      </x:c>
      <x:c r="G1" s="3" t="str">
        <x:v>Administrative Lists and Controlled Values</x:v>
      </x:c>
      <x:c r="H1" s="3" t="str">
        <x:v>Administrative Lists and Controlled Values</x:v>
      </x:c>
    </x:row>
    <x:row r="2">
      <x:c r="A2" s="8" t="str">
        <x:v>Course Type</x:v>
      </x:c>
      <x:c r="B2" s="8" t="str">
        <x:v>Availability</x:v>
      </x:c>
      <x:c r="C2" s="8" t="str">
        <x:v>Yes / No</x:v>
      </x:c>
      <x:c r="D2" s="8" t="str">
        <x:v>Academic Year</x:v>
      </x:c>
      <x:c r="F2" s="8" t="str">
        <x:v>Status</x:v>
      </x:c>
      <x:c r="G2" s="8" t="str">
        <x:v>Definition</x:v>
      </x:c>
    </x:row>
    <x:row r="3">
      <x:c r="A3" t="str">
        <x:v>Undergraduate</x:v>
      </x:c>
      <x:c r="B3" t="str">
        <x:v>Vacancies</x:v>
      </x:c>
      <x:c r="C3" t="str">
        <x:v>Yes</x:v>
      </x:c>
      <x:c r="D3" t="n">
        <x:v>2026</x:v>
      </x:c>
      <x:c r="F3" t="str">
        <x:v>Vacancies</x:v>
      </x:c>
      <x:c r="G3" t="str">
        <x:v>Open for applications</x:v>
      </x:c>
    </x:row>
    <x:row r="4">
      <x:c r="A4" t="str">
        <x:v>Foundation year</x:v>
      </x:c>
      <x:c r="B4" t="str">
        <x:v>Limited vacancies</x:v>
      </x:c>
      <x:c r="C4" t="str">
        <x:v>No</x:v>
      </x:c>
      <x:c r="D4" t="n">
        <x:v>2027</x:v>
      </x:c>
      <x:c r="F4" t="str">
        <x:v>Limited vacancies</x:v>
      </x:c>
      <x:c r="G4" t="str">
        <x:v>Open but places are constrained</x:v>
      </x:c>
    </x:row>
    <x:row r="5">
      <x:c r="A5"/>
      <x:c r="B5" t="str">
        <x:v>Waiting list</x:v>
      </x:c>
      <x:c r="C5"/>
      <x:c r="D5" t="n">
        <x:v>2028</x:v>
      </x:c>
      <x:c r="F5" t="str">
        <x:v>Waiting list</x:v>
      </x:c>
      <x:c r="G5" t="str">
        <x:v>Waiting-list enquiries only</x:v>
      </x:c>
    </x:row>
    <x:row r="6">
      <x:c r="A6"/>
      <x:c r="B6" t="str">
        <x:v>Full</x:v>
      </x:c>
      <x:c r="C6"/>
      <x:c r="D6" t="n">
        <x:v>2029</x:v>
      </x:c>
      <x:c r="F6" t="str">
        <x:v>Full</x:v>
      </x:c>
      <x:c r="G6" t="str">
        <x:v>No vacancies</x:v>
      </x:c>
    </x:row>
    <x:row r="7">
      <x:c r="D7" t="n">
        <x:v>2030</x:v>
      </x:c>
    </x:row>
    <x:row r="9">
      <x:c r="A9" s="55" t="str">
        <x:v>Do not casually rename controlled values: the website validator expects exact wording. Ask the project owner before adding a new status or course type.</x:v>
      </x:c>
      <x:c r="B9" s="55"/>
      <x:c r="C9" s="55"/>
      <x:c r="D9" s="55"/>
      <x:c r="E9" s="55"/>
      <x:c r="F9" s="55"/>
      <x:c r="G9" s="55"/>
      <x:c r="H9" s="55"/>
    </x:row>
  </x:sheetData>
  <x:mergeCells>
    <x:mergeCell ref="A1:H1"/>
    <x:mergeCell ref="A9:H9"/>
  </x:mergeCells>
  <x:pageMargins left="0.7" right="0.7" top="0.75" bottom="0.75" header="0.3" footer="0.3"/>
</x:worksheet>
</file>